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ФЕРТА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<sst xmlns="http://schemas.openxmlformats.org/spreadsheetml/2006/main" count="151" uniqueCount="123">
  <si>
    <t>тел.: +359 888 1000 42</t>
  </si>
  <si>
    <t>ул.Околовръстен път 155, ет.4</t>
  </si>
  <si>
    <t>e-mail: 360@margel.info</t>
  </si>
  <si>
    <t>последвай ни!!!</t>
  </si>
  <si>
    <r>
      <rPr>
        <rFont val="Calibri"/>
        <b/>
        <i/>
        <color theme="1"/>
        <sz val="10.0"/>
      </rPr>
      <t>МАРГЕЛ-7 ЕООД</t>
    </r>
    <r>
      <rPr>
        <rFont val="Calibri"/>
        <b/>
        <i/>
        <color theme="1"/>
        <sz val="11.0"/>
      </rPr>
      <t xml:space="preserve"> </t>
    </r>
    <r>
      <rPr>
        <rFont val="Calibri"/>
        <b/>
        <i/>
        <color theme="1"/>
        <sz val="10.0"/>
      </rPr>
      <t>Уникредит Булбанк</t>
    </r>
  </si>
  <si>
    <t>margel360</t>
  </si>
  <si>
    <t>BG 70 UNCR 7000 1525 1685 13</t>
  </si>
  <si>
    <t>ЗАЛА  ЗА  СЪБИТИЯ</t>
  </si>
  <si>
    <t xml:space="preserve">ОФЕРТА    №  -  </t>
  </si>
  <si>
    <t>/</t>
  </si>
  <si>
    <t>за предстоящо събитие -</t>
  </si>
  <si>
    <t>час</t>
  </si>
  <si>
    <t>от</t>
  </si>
  <si>
    <t>до</t>
  </si>
  <si>
    <t>24:00</t>
  </si>
  <si>
    <t>КЛИЕНТ</t>
  </si>
  <si>
    <t>Име:</t>
  </si>
  <si>
    <t>вид събитие:</t>
  </si>
  <si>
    <t>Вечерно  парти</t>
  </si>
  <si>
    <t>Телефон:</t>
  </si>
  <si>
    <t>E-mail:</t>
  </si>
  <si>
    <t>ВИД НА СЪБИТИЕТО</t>
  </si>
  <si>
    <t>TO%</t>
  </si>
  <si>
    <t>цена в €</t>
  </si>
  <si>
    <r>
      <rPr>
        <rFont val="Calibri"/>
        <b/>
        <color theme="1"/>
        <sz val="11.0"/>
      </rPr>
      <t>Парти</t>
    </r>
    <r>
      <rPr>
        <rFont val="Calibri"/>
        <color theme="1"/>
        <sz val="11.0"/>
      </rPr>
      <t xml:space="preserve">   /19:00-24:00/ за 5 часа до 40 човека - </t>
    </r>
  </si>
  <si>
    <t>над 40 човека</t>
  </si>
  <si>
    <t>/човек</t>
  </si>
  <si>
    <t>над 40човека</t>
  </si>
  <si>
    <t>за всеки започнат час след 24:00</t>
  </si>
  <si>
    <t>часове след 24:00</t>
  </si>
  <si>
    <t xml:space="preserve">/цената включва паркинг, озвучение, осветление, WC консумативи, </t>
  </si>
  <si>
    <t>маси тип "щъркел" + еластан, бар столове/</t>
  </si>
  <si>
    <t>ДОПЪЛНИТЕЛНО ОБОРУДВАНЕ</t>
  </si>
  <si>
    <t>Мултимедия:</t>
  </si>
  <si>
    <t>EPSON WI-FI</t>
  </si>
  <si>
    <t>180 лв</t>
  </si>
  <si>
    <t>Флипчарт</t>
  </si>
  <si>
    <t>€</t>
  </si>
  <si>
    <t>48 лв</t>
  </si>
  <si>
    <t>микрофони</t>
  </si>
  <si>
    <t>97 лв</t>
  </si>
  <si>
    <t>/3бр. микрофони + 1бр. тип брошка/</t>
  </si>
  <si>
    <t>Газова отоплителна гъба:</t>
  </si>
  <si>
    <t>доставка+газ  до 5часа</t>
  </si>
  <si>
    <t>145 лв</t>
  </si>
  <si>
    <t>ДОПЪЛНИТЕЛНИ   УСЛУГИ  ПО ЖЕЛАНИЕ НА КЛИЕНТА</t>
  </si>
  <si>
    <t>Декорация:</t>
  </si>
  <si>
    <t>Гардеробиер:</t>
  </si>
  <si>
    <t>170 лв</t>
  </si>
  <si>
    <t>/ 5 часа/</t>
  </si>
  <si>
    <t xml:space="preserve">след 5ч.       </t>
  </si>
  <si>
    <t xml:space="preserve">оувъртайм </t>
  </si>
  <si>
    <t>€/ч</t>
  </si>
  <si>
    <t>35 лв</t>
  </si>
  <si>
    <t xml:space="preserve">Хигиенистка </t>
  </si>
  <si>
    <t>148 лв</t>
  </si>
  <si>
    <t xml:space="preserve">след 5ч.    оувъртайм    </t>
  </si>
  <si>
    <t>Вале-паркинг:</t>
  </si>
  <si>
    <t>285 лв</t>
  </si>
  <si>
    <r>
      <rPr>
        <rFont val="Calibri"/>
        <i/>
        <color theme="1"/>
        <sz val="11.0"/>
      </rPr>
      <t>/5 часа/ -</t>
    </r>
    <r>
      <rPr>
        <rFont val="Calibri"/>
        <i/>
        <color theme="1"/>
        <sz val="8.0"/>
      </rPr>
      <t xml:space="preserve"> посрещане и паркиране на автомобили</t>
    </r>
  </si>
  <si>
    <t>след 6ч</t>
  </si>
  <si>
    <t>50 лв</t>
  </si>
  <si>
    <t>DJ:</t>
  </si>
  <si>
    <t>580 лв</t>
  </si>
  <si>
    <t>/5 часа/</t>
  </si>
  <si>
    <t>оувъртайм</t>
  </si>
  <si>
    <t xml:space="preserve">цена за 5 ч.  оувъртайм </t>
  </si>
  <si>
    <t>125 лв</t>
  </si>
  <si>
    <t>Фотограф</t>
  </si>
  <si>
    <t>фатограф 2часа</t>
  </si>
  <si>
    <t xml:space="preserve">   340 лв</t>
  </si>
  <si>
    <t>фатограф 3часа</t>
  </si>
  <si>
    <t xml:space="preserve">   480 лв</t>
  </si>
  <si>
    <t>фатограф 4часа</t>
  </si>
  <si>
    <t xml:space="preserve">   580 лв</t>
  </si>
  <si>
    <t>Охрана  VTA</t>
  </si>
  <si>
    <t>€/човек</t>
  </si>
  <si>
    <t>165 лв/човек</t>
  </si>
  <si>
    <t>/препоръчваме  до 40  човека 1 охранител/</t>
  </si>
  <si>
    <t>/препоръчваме  до 70 човека 2 охранители/</t>
  </si>
  <si>
    <t>/препоръчваме  до 120 човека 3 охранители/</t>
  </si>
  <si>
    <t xml:space="preserve">цена за 6 ч, оувъртайм </t>
  </si>
  <si>
    <t>40 лв</t>
  </si>
  <si>
    <t>Маса  светеща  1100мм  Ф600  RGB</t>
  </si>
  <si>
    <t>налични 5 бр</t>
  </si>
  <si>
    <t xml:space="preserve">цена </t>
  </si>
  <si>
    <t>€/бр</t>
  </si>
  <si>
    <t>40 лв/бр</t>
  </si>
  <si>
    <t>Маса тип щъркел Ф80  + еластан</t>
  </si>
  <si>
    <t>до 16 бр маси / безплатни/</t>
  </si>
  <si>
    <t xml:space="preserve">всяка следваща маса се заплаща </t>
  </si>
  <si>
    <t>25 лв</t>
  </si>
  <si>
    <t>Бар стол</t>
  </si>
  <si>
    <t>до 40 бр столове / безплани/</t>
  </si>
  <si>
    <t xml:space="preserve">всеки следващ стол </t>
  </si>
  <si>
    <t>10 лв</t>
  </si>
  <si>
    <t>Маса 180см + еластан</t>
  </si>
  <si>
    <t>45 лв</t>
  </si>
  <si>
    <t>Маса  Ф-152см +еластан</t>
  </si>
  <si>
    <t>Стол "шивари"</t>
  </si>
  <si>
    <t>€	/бр</t>
  </si>
  <si>
    <t>14 лв</t>
  </si>
  <si>
    <t>Конферентен стол</t>
  </si>
  <si>
    <t xml:space="preserve">€/бр	</t>
  </si>
  <si>
    <t>Други услуги /виж линка по долу/</t>
  </si>
  <si>
    <t>https://margel360.bg/%d1%83%d1%81%d0%bb%d1%83%d0%b3%d0%b8/</t>
  </si>
  <si>
    <t>Алкохол</t>
  </si>
  <si>
    <t>от линка по-долу можете да изберете желания от Вас алкохол</t>
  </si>
  <si>
    <t>https://margel360.bg/%d0%b0%d0%bb%d0%ba%d0%be%d1%85%d0%be%d0%bb/</t>
  </si>
  <si>
    <t xml:space="preserve">почистване зала  </t>
  </si>
  <si>
    <t>138 лв</t>
  </si>
  <si>
    <t>отстъпка</t>
  </si>
  <si>
    <t>ОБЩА СУМА НА ОФЕРТАТА:</t>
  </si>
  <si>
    <t>средна цена на човек</t>
  </si>
  <si>
    <t>аванс</t>
  </si>
  <si>
    <t xml:space="preserve">   €</t>
  </si>
  <si>
    <r>
      <rPr>
        <rFont val="Calibri"/>
        <i/>
        <color theme="1"/>
        <sz val="11.0"/>
      </rPr>
      <t>доплащане   / 3</t>
    </r>
    <r>
      <rPr>
        <rFont val="Calibri"/>
        <i/>
        <color theme="1"/>
        <sz val="9.0"/>
      </rPr>
      <t xml:space="preserve"> дни преди събитието/</t>
    </r>
  </si>
  <si>
    <t>!!! Офертата е валидна 2дни, залата се счита за запазена след потвърждение по имейл и платен депозит!</t>
  </si>
  <si>
    <t>Кетъринг  партньори</t>
  </si>
  <si>
    <t>www.linstant.bg</t>
  </si>
  <si>
    <t>0897864397</t>
  </si>
  <si>
    <t>https://vipcatering.bg</t>
  </si>
  <si>
    <t>0889225543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</si>
</sst>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02]dddd\,\ dd\ mmmm\ yyyy\ &quot;г.&quot;"/>
    <numFmt numFmtId="165" formatCode="hh:mm"/>
    <numFmt numFmtId="166" formatCode="[$€]#,##0.00"/>
    <numFmt numFmtId="167" formatCode="#,##0.00\ [$лв-402]"/>
    <numFmt numFmtId="168" formatCode="#,##0.00;(#,##0.00)"/>
    <numFmt numFmtId="169" formatCode="#,##0.00\ &quot;лв.&quot;"/>
    <numFmt numFmtId="170" formatCode="0.0"/>
  </numFmts>
  <fonts count="3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b/>
      <i/>
      <sz val="11.0"/>
      <color theme="1"/>
      <name val="Calibri"/>
    </font>
    <font>
      <b/>
      <sz val="26.0"/>
      <color theme="1"/>
      <name val="Calibri"/>
    </font>
    <font>
      <b/>
      <i/>
      <sz val="22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i/>
      <sz val="11.0"/>
      <color theme="1"/>
      <name val="Calibri"/>
    </font>
    <font>
      <sz val="9.0"/>
      <color theme="1"/>
      <name val="Calibri"/>
    </font>
    <font>
      <sz val="14.0"/>
      <color theme="1"/>
      <name val="Calibri"/>
    </font>
    <font>
      <i/>
      <sz val="12.0"/>
      <color theme="1"/>
      <name val="Calibri"/>
    </font>
    <font>
      <i/>
      <sz val="14.0"/>
      <color theme="1"/>
      <name val="Calibri"/>
    </font>
    <font>
      <u/>
      <sz val="11.0"/>
      <color theme="1"/>
      <name val="Calibri"/>
    </font>
    <font>
      <sz val="11.0"/>
      <color rgb="FF0563C1"/>
      <name val="Calibri"/>
    </font>
    <font>
      <b/>
      <i/>
      <sz val="12.0"/>
      <color theme="1"/>
      <name val="Calibri"/>
    </font>
    <font>
      <i/>
      <sz val="10.0"/>
      <color theme="1"/>
      <name val="Calibri"/>
    </font>
    <font>
      <b/>
      <sz val="11.0"/>
      <color rgb="FFA5A5A5"/>
      <name val="Calibri"/>
    </font>
    <font>
      <sz val="10.0"/>
      <color theme="1"/>
      <name val="Calibri"/>
    </font>
    <font>
      <color theme="1"/>
      <name val="Calibri"/>
    </font>
    <font>
      <color theme="1"/>
      <name val="Calibri"/>
      <scheme val="minor"/>
    </font>
    <font>
      <sz val="9.0"/>
      <color rgb="FF333333"/>
      <name val="Open Sans"/>
    </font>
    <font>
      <i/>
      <sz val="8.0"/>
      <color theme="1"/>
      <name val="Calibri"/>
    </font>
    <font>
      <u/>
      <sz val="11.0"/>
      <color theme="10"/>
      <name val="Calibri"/>
    </font>
    <font>
      <sz val="11.0"/>
      <color rgb="FFF2F2F2"/>
      <name val="Calibri"/>
    </font>
    <font>
      <sz val="11.0"/>
      <color rgb="FF7F7F7F"/>
      <name val="Calibri"/>
    </font>
    <font>
      <b/>
      <sz val="11.0"/>
      <color rgb="FFFF0000"/>
      <name val="Calibri"/>
    </font>
    <font>
      <sz val="8.0"/>
      <color theme="1"/>
      <name val="Calibri"/>
    </font>
    <font>
      <b/>
      <i/>
      <sz val="11.0"/>
      <color rgb="FFF2F2F2"/>
      <name val="Calibri"/>
    </font>
    <font>
      <b/>
      <i/>
      <sz val="11.0"/>
      <color rgb="FF7F7F7F"/>
      <name val="Calibri"/>
    </font>
    <font>
      <sz val="12.0"/>
      <color theme="1"/>
      <name val="Calibri"/>
    </font>
    <font>
      <b/>
      <sz val="11.0"/>
      <color rgb="FF0070C0"/>
      <name val="Calibri"/>
    </font>
    <font>
      <b/>
      <i/>
      <sz val="11.0"/>
      <color rgb="FF0070C0"/>
      <name val="Calibri"/>
    </font>
    <font>
      <sz val="11.0"/>
      <color rgb="FF2E75B5"/>
      <name val="Calibri"/>
    </font>
    <font>
      <b/>
      <sz val="10.0"/>
      <color rgb="FFFF0000"/>
      <name val="Calibri"/>
    </font>
    <font>
      <u/>
      <sz val="11.0"/>
      <color rgb="FF0563C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66">
    <border/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right" vertical="center"/>
    </xf>
    <xf borderId="1" fillId="0" fontId="2" numFmtId="0" xfId="0" applyBorder="1" applyFont="1"/>
    <xf borderId="0" fillId="0" fontId="1" numFmtId="0" xfId="0" applyAlignment="1" applyFont="1">
      <alignment horizontal="right" vertical="center"/>
    </xf>
    <xf borderId="0" fillId="0" fontId="3" numFmtId="0" xfId="0" applyAlignment="1" applyFont="1">
      <alignment horizontal="center" vertical="center"/>
    </xf>
    <xf borderId="2" fillId="0" fontId="4" numFmtId="0" xfId="0" applyAlignment="1" applyBorder="1" applyFont="1">
      <alignment horizontal="right" vertic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left" vertical="center"/>
    </xf>
    <xf borderId="5" fillId="0" fontId="1" numFmtId="0" xfId="0" applyAlignment="1" applyBorder="1" applyFont="1">
      <alignment horizontal="right" vertical="center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vertical="center"/>
    </xf>
    <xf borderId="8" fillId="0" fontId="5" numFmtId="0" xfId="0" applyAlignment="1" applyBorder="1" applyFont="1">
      <alignment horizontal="center" vertical="center"/>
    </xf>
    <xf borderId="9" fillId="2" fontId="6" numFmtId="0" xfId="0" applyAlignment="1" applyBorder="1" applyFill="1" applyFont="1">
      <alignment horizontal="center" vertical="center"/>
    </xf>
    <xf borderId="10" fillId="0" fontId="2" numFmtId="0" xfId="0" applyBorder="1" applyFont="1"/>
    <xf borderId="1" fillId="0" fontId="7" numFmtId="0" xfId="0" applyAlignment="1" applyBorder="1" applyFont="1">
      <alignment horizontal="right"/>
    </xf>
    <xf borderId="11" fillId="3" fontId="7" numFmtId="0" xfId="0" applyAlignment="1" applyBorder="1" applyFill="1" applyFont="1">
      <alignment horizontal="center"/>
    </xf>
    <xf borderId="12" fillId="0" fontId="2" numFmtId="0" xfId="0" applyBorder="1" applyFont="1"/>
    <xf borderId="13" fillId="3" fontId="7" numFmtId="0" xfId="0" applyBorder="1" applyFont="1"/>
    <xf borderId="11" fillId="3" fontId="7" numFmtId="14" xfId="0" applyAlignment="1" applyBorder="1" applyFont="1" applyNumberFormat="1">
      <alignment horizontal="left" readingOrder="0"/>
    </xf>
    <xf borderId="1" fillId="0" fontId="7" numFmtId="0" xfId="0" applyBorder="1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7" numFmtId="0" xfId="0" applyFont="1"/>
    <xf borderId="14" fillId="0" fontId="1" numFmtId="0" xfId="0" applyAlignment="1" applyBorder="1" applyFont="1">
      <alignment horizontal="center"/>
    </xf>
    <xf borderId="15" fillId="0" fontId="2" numFmtId="0" xfId="0" applyBorder="1" applyFont="1"/>
    <xf borderId="16" fillId="0" fontId="2" numFmtId="0" xfId="0" applyBorder="1" applyFont="1"/>
    <xf borderId="17" fillId="4" fontId="8" numFmtId="164" xfId="0" applyAlignment="1" applyBorder="1" applyFill="1" applyFont="1" applyNumberFormat="1">
      <alignment horizontal="center" readingOrder="0"/>
    </xf>
    <xf borderId="17" fillId="0" fontId="1" numFmtId="164" xfId="0" applyAlignment="1" applyBorder="1" applyFont="1" applyNumberFormat="1">
      <alignment horizontal="center"/>
    </xf>
    <xf borderId="17" fillId="0" fontId="1" numFmtId="0" xfId="0" applyAlignment="1" applyBorder="1" applyFont="1">
      <alignment horizontal="center"/>
    </xf>
    <xf borderId="17" fillId="5" fontId="9" numFmtId="165" xfId="0" applyAlignment="1" applyBorder="1" applyFill="1" applyFont="1" applyNumberFormat="1">
      <alignment horizontal="center" readingOrder="0"/>
    </xf>
    <xf borderId="17" fillId="0" fontId="9" numFmtId="0" xfId="0" applyAlignment="1" applyBorder="1" applyFont="1">
      <alignment horizontal="center"/>
    </xf>
    <xf borderId="17" fillId="5" fontId="9" numFmtId="49" xfId="0" applyAlignment="1" applyBorder="1" applyFont="1" applyNumberFormat="1">
      <alignment horizontal="center" readingOrder="0"/>
    </xf>
    <xf borderId="18" fillId="0" fontId="2" numFmtId="0" xfId="0" applyBorder="1" applyFont="1"/>
    <xf borderId="19" fillId="0" fontId="10" numFmtId="0" xfId="0" applyAlignment="1" applyBorder="1" applyFont="1">
      <alignment horizontal="left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3" numFmtId="0" xfId="0" applyFont="1"/>
    <xf borderId="20" fillId="0" fontId="13" numFmtId="0" xfId="0" applyBorder="1" applyFont="1"/>
    <xf borderId="21" fillId="6" fontId="3" numFmtId="0" xfId="0" applyBorder="1" applyFill="1" applyFont="1"/>
    <xf borderId="22" fillId="6" fontId="1" numFmtId="0" xfId="0" applyBorder="1" applyFont="1"/>
    <xf borderId="23" fillId="6" fontId="14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3" fontId="1" numFmtId="0" xfId="0" applyAlignment="1" applyBorder="1" applyFont="1">
      <alignment horizontal="left" readingOrder="0"/>
    </xf>
    <xf borderId="27" fillId="0" fontId="2" numFmtId="0" xfId="0" applyBorder="1" applyFont="1"/>
    <xf borderId="28" fillId="0" fontId="2" numFmtId="0" xfId="0" applyBorder="1" applyFont="1"/>
    <xf borderId="26" fillId="0" fontId="1" numFmtId="0" xfId="0" applyAlignment="1" applyBorder="1" applyFont="1">
      <alignment horizontal="left"/>
    </xf>
    <xf borderId="29" fillId="0" fontId="2" numFmtId="0" xfId="0" applyBorder="1" applyFont="1"/>
    <xf borderId="26" fillId="3" fontId="1" numFmtId="49" xfId="0" applyAlignment="1" applyBorder="1" applyFont="1" applyNumberFormat="1">
      <alignment horizontal="left"/>
    </xf>
    <xf borderId="30" fillId="7" fontId="1" numFmtId="0" xfId="0" applyAlignment="1" applyBorder="1" applyFill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21" fillId="7" fontId="1" numFmtId="0" xfId="0" applyBorder="1" applyFont="1"/>
    <xf borderId="22" fillId="7" fontId="1" numFmtId="0" xfId="0" applyBorder="1" applyFont="1"/>
    <xf borderId="33" fillId="7" fontId="1" numFmtId="0" xfId="0" applyBorder="1" applyFont="1"/>
    <xf borderId="26" fillId="3" fontId="15" numFmtId="0" xfId="0" applyAlignment="1" applyBorder="1" applyFont="1">
      <alignment horizontal="left"/>
    </xf>
    <xf borderId="34" fillId="6" fontId="1" numFmtId="0" xfId="0" applyAlignment="1" applyBorder="1" applyFont="1">
      <alignment horizontal="center"/>
    </xf>
    <xf borderId="35" fillId="0" fontId="2" numFmtId="0" xfId="0" applyBorder="1" applyFont="1"/>
    <xf borderId="36" fillId="0" fontId="2" numFmtId="0" xfId="0" applyBorder="1" applyFont="1"/>
    <xf borderId="30" fillId="6" fontId="1" numFmtId="0" xfId="0" applyAlignment="1" applyBorder="1" applyFont="1">
      <alignment horizontal="center"/>
    </xf>
    <xf borderId="37" fillId="7" fontId="16" numFmtId="166" xfId="0" applyAlignment="1" applyBorder="1" applyFont="1" applyNumberFormat="1">
      <alignment horizontal="left" readingOrder="0"/>
    </xf>
    <xf borderId="38" fillId="0" fontId="2" numFmtId="0" xfId="0" applyBorder="1" applyFont="1"/>
    <xf borderId="30" fillId="7" fontId="17" numFmtId="167" xfId="0" applyBorder="1" applyFont="1" applyNumberFormat="1"/>
    <xf borderId="26" fillId="7" fontId="18" numFmtId="0" xfId="0" applyAlignment="1" applyBorder="1" applyFont="1">
      <alignment horizontal="center" vertical="center"/>
    </xf>
    <xf borderId="26" fillId="3" fontId="1" numFmtId="0" xfId="0" applyAlignment="1" applyBorder="1" applyFont="1">
      <alignment horizontal="center" readingOrder="0"/>
    </xf>
    <xf borderId="39" fillId="7" fontId="1" numFmtId="2" xfId="0" applyBorder="1" applyFont="1" applyNumberFormat="1"/>
    <xf borderId="30" fillId="7" fontId="4" numFmtId="166" xfId="0" applyBorder="1" applyFont="1" applyNumberFormat="1"/>
    <xf borderId="30" fillId="7" fontId="1" numFmtId="168" xfId="0" applyBorder="1" applyFont="1" applyNumberFormat="1"/>
    <xf borderId="30" fillId="7" fontId="3" numFmtId="0" xfId="0" applyBorder="1" applyFont="1"/>
    <xf borderId="30" fillId="7" fontId="17" numFmtId="0" xfId="0" applyAlignment="1" applyBorder="1" applyFont="1">
      <alignment horizontal="center"/>
    </xf>
    <xf borderId="22" fillId="7" fontId="3" numFmtId="0" xfId="0" applyBorder="1" applyFont="1"/>
    <xf borderId="26" fillId="3" fontId="3" numFmtId="0" xfId="0" applyAlignment="1" applyBorder="1" applyFont="1">
      <alignment horizontal="center" readingOrder="0" shrinkToFit="0" wrapText="1"/>
    </xf>
    <xf borderId="26" fillId="3" fontId="1" numFmtId="0" xfId="0" applyAlignment="1" applyBorder="1" applyFont="1">
      <alignment horizontal="center"/>
    </xf>
    <xf borderId="22" fillId="7" fontId="1" numFmtId="0" xfId="0" applyAlignment="1" applyBorder="1" applyFont="1">
      <alignment readingOrder="0"/>
    </xf>
    <xf borderId="30" fillId="7" fontId="4" numFmtId="166" xfId="0" applyAlignment="1" applyBorder="1" applyFont="1" applyNumberFormat="1">
      <alignment readingOrder="0"/>
    </xf>
    <xf borderId="30" fillId="7" fontId="4" numFmtId="167" xfId="0" applyBorder="1" applyFont="1" applyNumberFormat="1"/>
    <xf borderId="22" fillId="7" fontId="17" numFmtId="0" xfId="0" applyAlignment="1" applyBorder="1" applyFont="1">
      <alignment horizontal="right"/>
    </xf>
    <xf borderId="26" fillId="3" fontId="3" numFmtId="0" xfId="0" applyAlignment="1" applyBorder="1" applyFont="1">
      <alignment horizontal="center"/>
    </xf>
    <xf borderId="21" fillId="7" fontId="17" numFmtId="0" xfId="0" applyBorder="1" applyFont="1"/>
    <xf borderId="22" fillId="7" fontId="17" numFmtId="0" xfId="0" applyBorder="1" applyFont="1"/>
    <xf borderId="22" fillId="7" fontId="9" numFmtId="0" xfId="0" applyBorder="1" applyFont="1"/>
    <xf borderId="23" fillId="7" fontId="9" numFmtId="0" xfId="0" applyBorder="1" applyFont="1"/>
    <xf borderId="40" fillId="7" fontId="17" numFmtId="0" xfId="0" applyBorder="1" applyFont="1"/>
    <xf borderId="41" fillId="7" fontId="17" numFmtId="0" xfId="0" applyBorder="1" applyFont="1"/>
    <xf borderId="41" fillId="7" fontId="9" numFmtId="0" xfId="0" applyBorder="1" applyFont="1"/>
    <xf borderId="42" fillId="7" fontId="9" numFmtId="0" xfId="0" applyBorder="1" applyFont="1"/>
    <xf borderId="23" fillId="6" fontId="1" numFmtId="0" xfId="0" applyBorder="1" applyFont="1"/>
    <xf borderId="21" fillId="7" fontId="3" numFmtId="0" xfId="0" applyBorder="1" applyFont="1"/>
    <xf borderId="43" fillId="5" fontId="1" numFmtId="0" xfId="0" applyBorder="1" applyFont="1"/>
    <xf borderId="23" fillId="7" fontId="1" numFmtId="0" xfId="0" applyBorder="1" applyFont="1"/>
    <xf borderId="24" fillId="0" fontId="1" numFmtId="2" xfId="0" applyAlignment="1" applyBorder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166" xfId="0" applyAlignment="1" applyFont="1" applyNumberFormat="1">
      <alignment horizontal="center" vertical="center"/>
    </xf>
    <xf borderId="6" fillId="0" fontId="19" numFmtId="2" xfId="0" applyAlignment="1" applyBorder="1" applyFont="1" applyNumberFormat="1">
      <alignment horizontal="center" vertical="center"/>
    </xf>
    <xf borderId="0" fillId="0" fontId="20" numFmtId="0" xfId="0" applyFont="1"/>
    <xf borderId="0" fillId="0" fontId="17" numFmtId="0" xfId="0" applyFont="1"/>
    <xf borderId="22" fillId="7" fontId="3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right"/>
    </xf>
    <xf borderId="27" fillId="0" fontId="1" numFmtId="2" xfId="0" applyBorder="1" applyFont="1" applyNumberFormat="1"/>
    <xf borderId="44" fillId="8" fontId="3" numFmtId="2" xfId="0" applyAlignment="1" applyBorder="1" applyFill="1" applyFont="1" applyNumberFormat="1">
      <alignment horizontal="left" vertical="center"/>
    </xf>
    <xf borderId="30" fillId="8" fontId="1" numFmtId="2" xfId="0" applyAlignment="1" applyBorder="1" applyFont="1" applyNumberFormat="1">
      <alignment horizontal="center" vertical="center"/>
    </xf>
    <xf borderId="22" fillId="8" fontId="1" numFmtId="2" xfId="0" applyAlignment="1" applyBorder="1" applyFont="1" applyNumberFormat="1">
      <alignment vertical="center"/>
    </xf>
    <xf borderId="30" fillId="8" fontId="19" numFmtId="2" xfId="0" applyAlignment="1" applyBorder="1" applyFont="1" applyNumberFormat="1">
      <alignment horizontal="center" vertical="center"/>
    </xf>
    <xf borderId="22" fillId="8" fontId="19" numFmtId="2" xfId="0" applyAlignment="1" applyBorder="1" applyFont="1" applyNumberFormat="1">
      <alignment horizontal="center" vertical="center"/>
    </xf>
    <xf borderId="22" fillId="8" fontId="1" numFmtId="0" xfId="0" applyBorder="1" applyFont="1"/>
    <xf borderId="22" fillId="8" fontId="17" numFmtId="0" xfId="0" applyBorder="1" applyFont="1"/>
    <xf borderId="43" fillId="5" fontId="3" numFmtId="0" xfId="0" applyAlignment="1" applyBorder="1" applyFont="1">
      <alignment horizontal="center" vertical="center"/>
    </xf>
    <xf borderId="22" fillId="8" fontId="1" numFmtId="2" xfId="0" applyAlignment="1" applyBorder="1" applyFont="1" applyNumberFormat="1">
      <alignment horizontal="right"/>
    </xf>
    <xf borderId="22" fillId="8" fontId="1" numFmtId="2" xfId="0" applyBorder="1" applyFont="1" applyNumberFormat="1"/>
    <xf borderId="23" fillId="8" fontId="1" numFmtId="2" xfId="0" applyBorder="1" applyFont="1" applyNumberFormat="1"/>
    <xf borderId="21" fillId="8" fontId="3" numFmtId="2" xfId="0" applyAlignment="1" applyBorder="1" applyFont="1" applyNumberFormat="1">
      <alignment horizontal="left" vertical="center"/>
    </xf>
    <xf borderId="22" fillId="8" fontId="3" numFmtId="2" xfId="0" applyAlignment="1" applyBorder="1" applyFont="1" applyNumberFormat="1">
      <alignment horizontal="left" vertical="center"/>
    </xf>
    <xf borderId="30" fillId="8" fontId="3" numFmtId="166" xfId="0" applyAlignment="1" applyBorder="1" applyFont="1" applyNumberFormat="1">
      <alignment horizontal="left" vertical="center"/>
    </xf>
    <xf borderId="22" fillId="8" fontId="1" numFmtId="167" xfId="0" applyAlignment="1" applyBorder="1" applyFont="1" applyNumberFormat="1">
      <alignment horizontal="center" vertical="center"/>
    </xf>
    <xf borderId="22" fillId="8" fontId="3" numFmtId="0" xfId="0" applyAlignment="1" applyBorder="1" applyFont="1">
      <alignment horizontal="center" vertical="center"/>
    </xf>
    <xf borderId="21" fillId="8" fontId="1" numFmtId="2" xfId="0" applyAlignment="1" applyBorder="1" applyFont="1" applyNumberFormat="1">
      <alignment vertical="center"/>
    </xf>
    <xf borderId="22" fillId="8" fontId="1" numFmtId="2" xfId="0" applyAlignment="1" applyBorder="1" applyFont="1" applyNumberFormat="1">
      <alignment horizontal="center" vertical="center"/>
    </xf>
    <xf borderId="39" fillId="8" fontId="1" numFmtId="2" xfId="0" applyBorder="1" applyFont="1" applyNumberFormat="1"/>
    <xf borderId="24" fillId="0" fontId="3" numFmtId="2" xfId="0" applyAlignment="1" applyBorder="1" applyFont="1" applyNumberFormat="1">
      <alignment horizontal="left" vertical="center"/>
    </xf>
    <xf borderId="0" fillId="0" fontId="1" numFmtId="2" xfId="0" applyAlignment="1" applyFont="1" applyNumberFormat="1">
      <alignment horizontal="center" vertical="center"/>
    </xf>
    <xf borderId="0" fillId="0" fontId="19" numFmtId="2" xfId="0" applyAlignment="1" applyFont="1" applyNumberFormat="1">
      <alignment horizontal="center" vertical="center"/>
    </xf>
    <xf borderId="0" fillId="0" fontId="1" numFmtId="2" xfId="0" applyFont="1" applyNumberFormat="1"/>
    <xf borderId="20" fillId="0" fontId="1" numFmtId="2" xfId="0" applyBorder="1" applyFont="1" applyNumberFormat="1"/>
    <xf borderId="45" fillId="0" fontId="1" numFmtId="2" xfId="0" applyAlignment="1" applyBorder="1" applyFont="1" applyNumberFormat="1">
      <alignment horizontal="center" vertical="center"/>
    </xf>
    <xf borderId="46" fillId="8" fontId="3" numFmtId="2" xfId="0" applyAlignment="1" applyBorder="1" applyFont="1" applyNumberFormat="1">
      <alignment vertical="center"/>
    </xf>
    <xf borderId="47" fillId="8" fontId="3" numFmtId="2" xfId="0" applyAlignment="1" applyBorder="1" applyFont="1" applyNumberFormat="1">
      <alignment vertical="center"/>
    </xf>
    <xf borderId="47" fillId="8" fontId="3" numFmtId="2" xfId="0" applyAlignment="1" applyBorder="1" applyFont="1" applyNumberFormat="1">
      <alignment horizontal="center" vertical="center"/>
    </xf>
    <xf borderId="47" fillId="8" fontId="1" numFmtId="2" xfId="0" applyAlignment="1" applyBorder="1" applyFont="1" applyNumberFormat="1">
      <alignment vertical="center"/>
    </xf>
    <xf borderId="37" fillId="8" fontId="1" numFmtId="1" xfId="0" applyAlignment="1" applyBorder="1" applyFont="1" applyNumberFormat="1">
      <alignment horizontal="center" vertical="center"/>
    </xf>
    <xf borderId="47" fillId="8" fontId="1" numFmtId="0" xfId="0" applyBorder="1" applyFont="1"/>
    <xf borderId="47" fillId="8" fontId="17" numFmtId="0" xfId="0" applyBorder="1" applyFont="1"/>
    <xf borderId="47" fillId="8" fontId="1" numFmtId="2" xfId="0" applyAlignment="1" applyBorder="1" applyFont="1" applyNumberFormat="1">
      <alignment horizontal="right"/>
    </xf>
    <xf borderId="21" fillId="8" fontId="3" numFmtId="2" xfId="0" applyAlignment="1" applyBorder="1" applyFont="1" applyNumberFormat="1">
      <alignment vertical="center"/>
    </xf>
    <xf borderId="22" fillId="8" fontId="3" numFmtId="2" xfId="0" applyAlignment="1" applyBorder="1" applyFont="1" applyNumberFormat="1">
      <alignment vertical="center"/>
    </xf>
    <xf borderId="22" fillId="8" fontId="3" numFmtId="2" xfId="0" applyAlignment="1" applyBorder="1" applyFont="1" applyNumberFormat="1">
      <alignment horizontal="center" vertical="center"/>
    </xf>
    <xf borderId="22" fillId="8" fontId="1" numFmtId="1" xfId="0" applyAlignment="1" applyBorder="1" applyFont="1" applyNumberFormat="1">
      <alignment horizontal="center" vertical="center"/>
    </xf>
    <xf borderId="21" fillId="8" fontId="1" numFmtId="0" xfId="0" applyAlignment="1" applyBorder="1" applyFont="1">
      <alignment vertical="center"/>
    </xf>
    <xf borderId="22" fillId="8" fontId="1" numFmtId="0" xfId="0" applyAlignment="1" applyBorder="1" applyFont="1">
      <alignment vertical="center"/>
    </xf>
    <xf borderId="30" fillId="8" fontId="1" numFmtId="0" xfId="0" applyAlignment="1" applyBorder="1" applyFont="1">
      <alignment horizontal="right" vertical="center"/>
    </xf>
    <xf borderId="30" fillId="8" fontId="1" numFmtId="0" xfId="0" applyAlignment="1" applyBorder="1" applyFont="1">
      <alignment horizontal="left" vertical="center"/>
    </xf>
    <xf borderId="30" fillId="8" fontId="1" numFmtId="0" xfId="0" applyBorder="1" applyFont="1"/>
    <xf borderId="24" fillId="0" fontId="3" numFmtId="0" xfId="0" applyAlignment="1" applyBorder="1" applyFont="1">
      <alignment horizontal="left" readingOrder="0"/>
    </xf>
    <xf borderId="26" fillId="5" fontId="3" numFmtId="0" xfId="0" applyAlignment="1" applyBorder="1" applyFont="1">
      <alignment horizontal="center" readingOrder="0" vertical="center"/>
    </xf>
    <xf borderId="25" fillId="0" fontId="2" numFmtId="0" xfId="0" applyBorder="1" applyFont="1"/>
    <xf borderId="0" fillId="0" fontId="21" numFmtId="49" xfId="0" applyAlignment="1" applyFont="1" applyNumberFormat="1">
      <alignment readingOrder="0"/>
    </xf>
    <xf borderId="0" fillId="0" fontId="22" numFmtId="49" xfId="0" applyFont="1" applyNumberFormat="1"/>
    <xf borderId="44" fillId="8" fontId="3" numFmtId="0" xfId="0" applyAlignment="1" applyBorder="1" applyFont="1">
      <alignment horizontal="left"/>
    </xf>
    <xf borderId="30" fillId="8" fontId="1" numFmtId="0" xfId="0" applyAlignment="1" applyBorder="1" applyFont="1">
      <alignment horizontal="right"/>
    </xf>
    <xf borderId="22" fillId="8" fontId="3" numFmtId="0" xfId="0" applyAlignment="1" applyBorder="1" applyFont="1">
      <alignment horizontal="left"/>
    </xf>
    <xf borderId="22" fillId="8" fontId="1" numFmtId="0" xfId="0" applyAlignment="1" applyBorder="1" applyFont="1">
      <alignment horizontal="center"/>
    </xf>
    <xf borderId="48" fillId="8" fontId="1" numFmtId="2" xfId="0" applyAlignment="1" applyBorder="1" applyFont="1" applyNumberFormat="1">
      <alignment horizontal="right"/>
    </xf>
    <xf borderId="49" fillId="0" fontId="2" numFmtId="0" xfId="0" applyBorder="1" applyFont="1"/>
    <xf borderId="50" fillId="0" fontId="2" numFmtId="0" xfId="0" applyBorder="1" applyFont="1"/>
    <xf borderId="30" fillId="8" fontId="1" numFmtId="0" xfId="0" applyAlignment="1" applyBorder="1" applyFont="1">
      <alignment horizontal="center" vertical="center"/>
    </xf>
    <xf borderId="44" fillId="7" fontId="4" numFmtId="0" xfId="0" applyAlignment="1" applyBorder="1" applyFont="1">
      <alignment horizontal="left" vertical="top"/>
    </xf>
    <xf borderId="22" fillId="7" fontId="4" numFmtId="0" xfId="0" applyAlignment="1" applyBorder="1" applyFont="1">
      <alignment vertical="top"/>
    </xf>
    <xf borderId="30" fillId="7" fontId="4" numFmtId="0" xfId="0" applyAlignment="1" applyBorder="1" applyFont="1">
      <alignment horizontal="right" vertical="top"/>
    </xf>
    <xf borderId="30" fillId="7" fontId="4" numFmtId="0" xfId="0" applyAlignment="1" applyBorder="1" applyFont="1">
      <alignment vertical="top"/>
    </xf>
    <xf borderId="51" fillId="5" fontId="9" numFmtId="0" xfId="0" applyAlignment="1" applyBorder="1" applyFont="1">
      <alignment readingOrder="0"/>
    </xf>
    <xf borderId="22" fillId="7" fontId="1" numFmtId="2" xfId="0" applyAlignment="1" applyBorder="1" applyFont="1" applyNumberFormat="1">
      <alignment horizontal="right"/>
    </xf>
    <xf borderId="0" fillId="0" fontId="1" numFmtId="0" xfId="0" applyFont="1"/>
    <xf borderId="22" fillId="7" fontId="4" numFmtId="0" xfId="0" applyAlignment="1" applyBorder="1" applyFont="1">
      <alignment horizontal="right" vertical="top"/>
    </xf>
    <xf borderId="43" fillId="5" fontId="9" numFmtId="0" xfId="0" applyBorder="1" applyFont="1"/>
    <xf borderId="39" fillId="7" fontId="1" numFmtId="2" xfId="0" applyAlignment="1" applyBorder="1" applyFont="1" applyNumberFormat="1">
      <alignment horizontal="right"/>
    </xf>
    <xf borderId="21" fillId="7" fontId="9" numFmtId="0" xfId="0" applyAlignment="1" applyBorder="1" applyFont="1">
      <alignment vertical="top"/>
    </xf>
    <xf borderId="30" fillId="7" fontId="9" numFmtId="0" xfId="0" applyBorder="1" applyFont="1"/>
    <xf borderId="30" fillId="7" fontId="9" numFmtId="0" xfId="0" applyAlignment="1" applyBorder="1" applyFont="1">
      <alignment horizontal="right"/>
    </xf>
    <xf borderId="30" fillId="7" fontId="9" numFmtId="0" xfId="0" applyAlignment="1" applyBorder="1" applyFont="1">
      <alignment horizontal="center"/>
    </xf>
    <xf borderId="22" fillId="7" fontId="1" numFmtId="2" xfId="0" applyBorder="1" applyFont="1" applyNumberFormat="1"/>
    <xf borderId="23" fillId="7" fontId="1" numFmtId="2" xfId="0" applyBorder="1" applyFont="1" applyNumberFormat="1"/>
    <xf borderId="21" fillId="8" fontId="4" numFmtId="0" xfId="0" applyBorder="1" applyFont="1"/>
    <xf borderId="22" fillId="8" fontId="4" numFmtId="0" xfId="0" applyBorder="1" applyFont="1"/>
    <xf borderId="30" fillId="8" fontId="9" numFmtId="0" xfId="0" applyAlignment="1" applyBorder="1" applyFont="1">
      <alignment horizontal="center"/>
    </xf>
    <xf borderId="22" fillId="8" fontId="9" numFmtId="0" xfId="0" applyBorder="1" applyFont="1"/>
    <xf borderId="30" fillId="8" fontId="9" numFmtId="0" xfId="0" applyBorder="1" applyFont="1"/>
    <xf borderId="51" fillId="5" fontId="4" numFmtId="0" xfId="0" applyAlignment="1" applyBorder="1" applyFont="1">
      <alignment horizontal="center" vertical="center"/>
    </xf>
    <xf borderId="44" fillId="8" fontId="9" numFmtId="0" xfId="0" applyAlignment="1" applyBorder="1" applyFont="1">
      <alignment shrinkToFit="0" vertical="top" wrapText="1"/>
    </xf>
    <xf borderId="39" fillId="8" fontId="1" numFmtId="2" xfId="0" applyAlignment="1" applyBorder="1" applyFont="1" applyNumberFormat="1">
      <alignment horizontal="right"/>
    </xf>
    <xf borderId="44" fillId="8" fontId="9" numFmtId="0" xfId="0" applyAlignment="1" applyBorder="1" applyFont="1">
      <alignment horizontal="center" shrinkToFit="0" vertical="top" wrapText="1"/>
    </xf>
    <xf borderId="30" fillId="8" fontId="9" numFmtId="0" xfId="0" applyAlignment="1" applyBorder="1" applyFont="1">
      <alignment horizontal="right" shrinkToFit="0" vertical="top" wrapText="1"/>
    </xf>
    <xf borderId="30" fillId="8" fontId="9" numFmtId="0" xfId="0" applyAlignment="1" applyBorder="1" applyFont="1">
      <alignment horizontal="left" shrinkToFit="0" vertical="top" wrapText="1"/>
    </xf>
    <xf borderId="30" fillId="8" fontId="9" numFmtId="0" xfId="0" applyAlignment="1" applyBorder="1" applyFont="1">
      <alignment shrinkToFit="0" vertical="top" wrapText="1"/>
    </xf>
    <xf borderId="21" fillId="7" fontId="4" numFmtId="0" xfId="0" applyBorder="1" applyFont="1"/>
    <xf borderId="43" fillId="5" fontId="4" numFmtId="0" xfId="0" applyAlignment="1" applyBorder="1" applyFont="1">
      <alignment horizontal="center" readingOrder="0" vertical="center"/>
    </xf>
    <xf borderId="44" fillId="7" fontId="9" numFmtId="0" xfId="0" applyAlignment="1" applyBorder="1" applyFont="1">
      <alignment horizontal="center"/>
    </xf>
    <xf borderId="52" fillId="0" fontId="2" numFmtId="0" xfId="0" applyBorder="1" applyFont="1"/>
    <xf borderId="43" fillId="5" fontId="9" numFmtId="0" xfId="0" applyAlignment="1" applyBorder="1" applyFont="1">
      <alignment horizontal="center" readingOrder="0"/>
    </xf>
    <xf borderId="21" fillId="7" fontId="9" numFmtId="0" xfId="0" applyBorder="1" applyFont="1"/>
    <xf borderId="44" fillId="8" fontId="4" numFmtId="0" xfId="0" applyAlignment="1" applyBorder="1" applyFont="1">
      <alignment horizontal="left" vertical="top"/>
    </xf>
    <xf borderId="22" fillId="8" fontId="9" numFmtId="0" xfId="0" applyAlignment="1" applyBorder="1" applyFont="1">
      <alignment horizontal="left" vertical="top"/>
    </xf>
    <xf borderId="21" fillId="8" fontId="9" numFmtId="0" xfId="0" applyAlignment="1" applyBorder="1" applyFont="1">
      <alignment horizontal="left" vertical="top"/>
    </xf>
    <xf borderId="26" fillId="8" fontId="9" numFmtId="0" xfId="0" applyAlignment="1" applyBorder="1" applyFont="1">
      <alignment horizontal="center" vertical="top"/>
    </xf>
    <xf borderId="53" fillId="8" fontId="9" numFmtId="0" xfId="0" applyAlignment="1" applyBorder="1" applyFont="1">
      <alignment horizontal="center" vertical="top"/>
    </xf>
    <xf borderId="43" fillId="3" fontId="9" numFmtId="0" xfId="0" applyAlignment="1" applyBorder="1" applyFont="1">
      <alignment readingOrder="0"/>
    </xf>
    <xf borderId="43" fillId="3" fontId="9" numFmtId="0" xfId="0" applyBorder="1" applyFont="1"/>
    <xf borderId="21" fillId="7" fontId="9" numFmtId="0" xfId="0" applyAlignment="1" applyBorder="1" applyFont="1">
      <alignment horizontal="left" vertical="top"/>
    </xf>
    <xf borderId="22" fillId="7" fontId="9" numFmtId="0" xfId="0" applyAlignment="1" applyBorder="1" applyFont="1">
      <alignment horizontal="left" vertical="top"/>
    </xf>
    <xf borderId="23" fillId="7" fontId="1" numFmtId="2" xfId="0" applyAlignment="1" applyBorder="1" applyFont="1" applyNumberFormat="1">
      <alignment horizontal="right"/>
    </xf>
    <xf borderId="21" fillId="7" fontId="4" numFmtId="0" xfId="0" applyAlignment="1" applyBorder="1" applyFont="1">
      <alignment vertical="top"/>
    </xf>
    <xf borderId="22" fillId="7" fontId="4" numFmtId="0" xfId="0" applyBorder="1" applyFont="1"/>
    <xf borderId="30" fillId="7" fontId="1" numFmtId="2" xfId="0" applyAlignment="1" applyBorder="1" applyFont="1" applyNumberFormat="1">
      <alignment horizontal="right"/>
    </xf>
    <xf borderId="30" fillId="7" fontId="23" numFmtId="0" xfId="0" applyAlignment="1" applyBorder="1" applyFont="1">
      <alignment horizontal="left"/>
    </xf>
    <xf borderId="22" fillId="7" fontId="9" numFmtId="0" xfId="0" applyAlignment="1" applyBorder="1" applyFont="1">
      <alignment horizontal="center"/>
    </xf>
    <xf borderId="30" fillId="7" fontId="23" numFmtId="0" xfId="0" applyAlignment="1" applyBorder="1" applyFont="1">
      <alignment horizontal="right"/>
    </xf>
    <xf borderId="30" fillId="7" fontId="23" numFmtId="0" xfId="0" applyBorder="1" applyFont="1"/>
    <xf borderId="22" fillId="8" fontId="9" numFmtId="0" xfId="0" applyAlignment="1" applyBorder="1" applyFont="1">
      <alignment horizontal="center"/>
    </xf>
    <xf borderId="30" fillId="8" fontId="1" numFmtId="2" xfId="0" applyAlignment="1" applyBorder="1" applyFont="1" applyNumberFormat="1">
      <alignment horizontal="right"/>
    </xf>
    <xf borderId="44" fillId="8" fontId="9" numFmtId="2" xfId="0" applyAlignment="1" applyBorder="1" applyFont="1" applyNumberFormat="1">
      <alignment horizontal="left" vertical="center"/>
    </xf>
    <xf borderId="30" fillId="8" fontId="9" numFmtId="2" xfId="0" applyAlignment="1" applyBorder="1" applyFont="1" applyNumberFormat="1">
      <alignment horizontal="center" vertical="center"/>
    </xf>
    <xf borderId="30" fillId="8" fontId="17" numFmtId="168" xfId="0" applyAlignment="1" applyBorder="1" applyFont="1" applyNumberFormat="1">
      <alignment horizontal="center" vertical="center"/>
    </xf>
    <xf borderId="23" fillId="8" fontId="1" numFmtId="2" xfId="0" applyAlignment="1" applyBorder="1" applyFont="1" applyNumberFormat="1">
      <alignment horizontal="right"/>
    </xf>
    <xf borderId="21" fillId="8" fontId="9" numFmtId="0" xfId="0" applyAlignment="1" applyBorder="1" applyFont="1">
      <alignment vertical="top"/>
    </xf>
    <xf borderId="22" fillId="8" fontId="23" numFmtId="0" xfId="0" applyAlignment="1" applyBorder="1" applyFont="1">
      <alignment horizontal="left"/>
    </xf>
    <xf borderId="30" fillId="8" fontId="9" numFmtId="0" xfId="0" applyAlignment="1" applyBorder="1" applyFont="1">
      <alignment horizontal="left"/>
    </xf>
    <xf borderId="44" fillId="7" fontId="4" numFmtId="0" xfId="0" applyAlignment="1" applyBorder="1" applyFont="1">
      <alignment horizontal="left"/>
    </xf>
    <xf borderId="22" fillId="7" fontId="9" numFmtId="0" xfId="0" applyAlignment="1" applyBorder="1" applyFont="1">
      <alignment horizontal="center" vertical="top"/>
    </xf>
    <xf borderId="30" fillId="7" fontId="9" numFmtId="0" xfId="0" applyAlignment="1" applyBorder="1" applyFont="1">
      <alignment horizontal="left"/>
    </xf>
    <xf borderId="44" fillId="8" fontId="4" numFmtId="0" xfId="0" applyAlignment="1" applyBorder="1" applyFont="1">
      <alignment horizontal="left"/>
    </xf>
    <xf borderId="22" fillId="8" fontId="9" numFmtId="0" xfId="0" applyAlignment="1" applyBorder="1" applyFont="1">
      <alignment horizontal="center" vertical="top"/>
    </xf>
    <xf borderId="21" fillId="8" fontId="9" numFmtId="0" xfId="0" applyBorder="1" applyFont="1"/>
    <xf borderId="44" fillId="8" fontId="9" numFmtId="0" xfId="0" applyAlignment="1" applyBorder="1" applyFont="1">
      <alignment horizontal="left"/>
    </xf>
    <xf borderId="30" fillId="8" fontId="9" numFmtId="0" xfId="0" applyAlignment="1" applyBorder="1" applyFont="1">
      <alignment horizontal="right"/>
    </xf>
    <xf borderId="44" fillId="7" fontId="9" numFmtId="0" xfId="0" applyAlignment="1" applyBorder="1" applyFont="1">
      <alignment horizontal="right"/>
    </xf>
    <xf borderId="22" fillId="8" fontId="9" numFmtId="0" xfId="0" applyAlignment="1" applyBorder="1" applyFont="1">
      <alignment horizontal="left"/>
    </xf>
    <xf borderId="43" fillId="3" fontId="9" numFmtId="0" xfId="0" applyAlignment="1" applyBorder="1" applyFont="1">
      <alignment horizontal="left" readingOrder="0"/>
    </xf>
    <xf borderId="44" fillId="8" fontId="9" numFmtId="0" xfId="0" applyAlignment="1" applyBorder="1" applyFont="1">
      <alignment horizontal="center"/>
    </xf>
    <xf borderId="44" fillId="8" fontId="9" numFmtId="0" xfId="0" applyAlignment="1" applyBorder="1" applyFont="1">
      <alignment horizontal="right"/>
    </xf>
    <xf borderId="22" fillId="7" fontId="9" numFmtId="0" xfId="0" applyAlignment="1" applyBorder="1" applyFont="1">
      <alignment horizontal="left"/>
    </xf>
    <xf borderId="43" fillId="3" fontId="9" numFmtId="0" xfId="0" applyAlignment="1" applyBorder="1" applyFont="1">
      <alignment horizontal="left"/>
    </xf>
    <xf borderId="37" fillId="8" fontId="1" numFmtId="2" xfId="0" applyAlignment="1" applyBorder="1" applyFont="1" applyNumberFormat="1">
      <alignment horizontal="right"/>
    </xf>
    <xf borderId="54" fillId="0" fontId="2" numFmtId="0" xfId="0" applyBorder="1" applyFont="1"/>
    <xf borderId="55" fillId="3" fontId="9" numFmtId="0" xfId="0" applyAlignment="1" applyBorder="1" applyFont="1">
      <alignment horizontal="center"/>
    </xf>
    <xf borderId="56" fillId="0" fontId="2" numFmtId="0" xfId="0" applyBorder="1" applyFont="1"/>
    <xf borderId="57" fillId="0" fontId="2" numFmtId="0" xfId="0" applyBorder="1" applyFont="1"/>
    <xf borderId="44" fillId="7" fontId="24" numFmtId="0" xfId="0" applyAlignment="1" applyBorder="1" applyFont="1">
      <alignment horizontal="center" shrinkToFit="0" wrapText="1"/>
    </xf>
    <xf borderId="44" fillId="8" fontId="3" numFmtId="0" xfId="0" applyAlignment="1" applyBorder="1" applyFont="1">
      <alignment horizontal="left" shrinkToFit="0" wrapText="1"/>
    </xf>
    <xf borderId="22" fillId="8" fontId="1" numFmtId="0" xfId="0" applyAlignment="1" applyBorder="1" applyFont="1">
      <alignment horizontal="right"/>
    </xf>
    <xf borderId="44" fillId="7" fontId="3" numFmtId="49" xfId="0" applyAlignment="1" applyBorder="1" applyFont="1" applyNumberFormat="1">
      <alignment horizontal="left" shrinkToFit="0" wrapText="1"/>
    </xf>
    <xf borderId="58" fillId="8" fontId="9" numFmtId="0" xfId="0" applyBorder="1" applyFont="1"/>
    <xf borderId="59" fillId="8" fontId="9" numFmtId="0" xfId="0" applyBorder="1" applyFont="1"/>
    <xf borderId="9" fillId="8" fontId="9" numFmtId="0" xfId="0" applyAlignment="1" applyBorder="1" applyFont="1">
      <alignment horizontal="center"/>
    </xf>
    <xf borderId="9" fillId="8" fontId="9" numFmtId="0" xfId="0" applyBorder="1" applyFont="1"/>
    <xf borderId="59" fillId="8" fontId="9" numFmtId="0" xfId="0" applyAlignment="1" applyBorder="1" applyFont="1">
      <alignment horizontal="center"/>
    </xf>
    <xf borderId="60" fillId="5" fontId="9" numFmtId="0" xfId="0" applyAlignment="1" applyBorder="1" applyFont="1">
      <alignment horizontal="center"/>
    </xf>
    <xf borderId="59" fillId="8" fontId="1" numFmtId="0" xfId="0" applyBorder="1" applyFont="1"/>
    <xf borderId="59" fillId="8" fontId="1" numFmtId="2" xfId="0" applyAlignment="1" applyBorder="1" applyFont="1" applyNumberFormat="1">
      <alignment horizontal="right"/>
    </xf>
    <xf borderId="9" fillId="8" fontId="1" numFmtId="2" xfId="0" applyAlignment="1" applyBorder="1" applyFont="1" applyNumberFormat="1">
      <alignment horizontal="right"/>
    </xf>
    <xf borderId="61" fillId="0" fontId="2" numFmtId="0" xfId="0" applyBorder="1" applyFont="1"/>
    <xf borderId="22" fillId="7" fontId="1" numFmtId="0" xfId="0" applyAlignment="1" applyBorder="1" applyFont="1">
      <alignment vertical="top"/>
    </xf>
    <xf borderId="22" fillId="7" fontId="1" numFmtId="0" xfId="0" applyAlignment="1" applyBorder="1" applyFont="1">
      <alignment horizontal="left"/>
    </xf>
    <xf borderId="22" fillId="7" fontId="1" numFmtId="0" xfId="0" applyAlignment="1" applyBorder="1" applyFont="1">
      <alignment horizontal="center"/>
    </xf>
    <xf borderId="62" fillId="7" fontId="1" numFmtId="2" xfId="0" applyBorder="1" applyFont="1" applyNumberFormat="1"/>
    <xf borderId="22" fillId="7" fontId="25" numFmtId="0" xfId="0" applyAlignment="1" applyBorder="1" applyFont="1">
      <alignment vertical="top"/>
    </xf>
    <xf borderId="22" fillId="7" fontId="26" numFmtId="0" xfId="0" applyAlignment="1" applyBorder="1" applyFont="1">
      <alignment vertical="top"/>
    </xf>
    <xf borderId="11" fillId="7" fontId="27" numFmtId="2" xfId="0" applyAlignment="1" applyBorder="1" applyFont="1" applyNumberFormat="1">
      <alignment horizontal="center"/>
    </xf>
    <xf borderId="63" fillId="0" fontId="2" numFmtId="0" xfId="0" applyBorder="1" applyFont="1"/>
    <xf borderId="22" fillId="7" fontId="28" numFmtId="0" xfId="0" applyAlignment="1" applyBorder="1" applyFont="1">
      <alignment horizontal="left"/>
    </xf>
    <xf borderId="21" fillId="7" fontId="29" numFmtId="169" xfId="0" applyBorder="1" applyFont="1" applyNumberFormat="1"/>
    <xf borderId="22" fillId="7" fontId="30" numFmtId="169" xfId="0" applyBorder="1" applyFont="1" applyNumberFormat="1"/>
    <xf borderId="22" fillId="7" fontId="4" numFmtId="169" xfId="0" applyBorder="1" applyFont="1" applyNumberFormat="1"/>
    <xf borderId="0" fillId="0" fontId="31" numFmtId="0" xfId="0" applyFont="1"/>
    <xf borderId="43" fillId="0" fontId="31" numFmtId="0" xfId="0" applyBorder="1" applyFont="1"/>
    <xf borderId="43" fillId="0" fontId="8" numFmtId="0" xfId="0" applyAlignment="1" applyBorder="1" applyFont="1">
      <alignment horizontal="right"/>
    </xf>
    <xf borderId="26" fillId="9" fontId="7" numFmtId="1" xfId="0" applyAlignment="1" applyBorder="1" applyFill="1" applyFont="1" applyNumberFormat="1">
      <alignment horizontal="right"/>
    </xf>
    <xf borderId="64" fillId="9" fontId="8" numFmtId="166" xfId="0" applyBorder="1" applyFont="1" applyNumberFormat="1"/>
    <xf borderId="21" fillId="7" fontId="25" numFmtId="0" xfId="0" applyBorder="1" applyFont="1"/>
    <xf borderId="22" fillId="7" fontId="26" numFmtId="0" xfId="0" applyBorder="1" applyFont="1"/>
    <xf borderId="0" fillId="0" fontId="1" numFmtId="0" xfId="0" applyAlignment="1" applyFont="1">
      <alignment horizontal="right"/>
    </xf>
    <xf borderId="20" fillId="0" fontId="2" numFmtId="0" xfId="0" applyBorder="1" applyFont="1"/>
    <xf borderId="22" fillId="7" fontId="7" numFmtId="0" xfId="0" applyBorder="1" applyFont="1"/>
    <xf borderId="30" fillId="7" fontId="7" numFmtId="2" xfId="0" applyAlignment="1" applyBorder="1" applyFont="1" applyNumberFormat="1">
      <alignment horizontal="right"/>
    </xf>
    <xf borderId="0" fillId="0" fontId="32" numFmtId="170" xfId="0" applyAlignment="1" applyFont="1" applyNumberFormat="1">
      <alignment horizontal="center"/>
    </xf>
    <xf borderId="26" fillId="0" fontId="33" numFmtId="0" xfId="0" applyAlignment="1" applyBorder="1" applyFont="1">
      <alignment horizontal="left"/>
    </xf>
    <xf borderId="55" fillId="0" fontId="33" numFmtId="0" xfId="0" applyAlignment="1" applyBorder="1" applyFont="1">
      <alignment horizontal="right"/>
    </xf>
    <xf borderId="56" fillId="0" fontId="34" numFmtId="0" xfId="0" applyAlignment="1" applyBorder="1" applyFont="1">
      <alignment horizontal="left"/>
    </xf>
    <xf borderId="65" fillId="0" fontId="9" numFmtId="0" xfId="0" applyAlignment="1" applyBorder="1" applyFont="1">
      <alignment horizontal="left"/>
    </xf>
    <xf borderId="26" fillId="0" fontId="9" numFmtId="1" xfId="0" applyAlignment="1" applyBorder="1" applyFont="1" applyNumberFormat="1">
      <alignment horizontal="right"/>
    </xf>
    <xf borderId="27" fillId="0" fontId="9" numFmtId="1" xfId="0" applyAlignment="1" applyBorder="1" applyFont="1" applyNumberFormat="1">
      <alignment horizontal="left"/>
    </xf>
    <xf borderId="20" fillId="0" fontId="1" numFmtId="0" xfId="0" applyBorder="1" applyFont="1"/>
    <xf borderId="5" fillId="0" fontId="9" numFmtId="1" xfId="0" applyAlignment="1" applyBorder="1" applyFont="1" applyNumberFormat="1">
      <alignment horizontal="right"/>
    </xf>
    <xf borderId="6" fillId="0" fontId="9" numFmtId="1" xfId="0" applyAlignment="1" applyBorder="1" applyFont="1" applyNumberFormat="1">
      <alignment horizontal="left"/>
    </xf>
    <xf borderId="19" fillId="0" fontId="17" numFmtId="0" xfId="0" applyBorder="1" applyFont="1"/>
    <xf borderId="3" fillId="0" fontId="17" numFmtId="0" xfId="0" applyBorder="1" applyFont="1"/>
    <xf borderId="0" fillId="0" fontId="9" numFmtId="0" xfId="0" applyFont="1"/>
    <xf borderId="55" fillId="0" fontId="35" numFmtId="0" xfId="0" applyAlignment="1" applyBorder="1" applyFont="1">
      <alignment horizontal="center"/>
    </xf>
    <xf borderId="26" fillId="7" fontId="4" numFmtId="0" xfId="0" applyAlignment="1" applyBorder="1" applyFont="1">
      <alignment horizontal="center"/>
    </xf>
    <xf borderId="43" fillId="0" fontId="1" numFmtId="0" xfId="0" applyBorder="1" applyFont="1"/>
    <xf borderId="26" fillId="7" fontId="36" numFmtId="0" xfId="0" applyAlignment="1" applyBorder="1" applyFont="1">
      <alignment horizontal="left" vertical="top"/>
    </xf>
    <xf borderId="26" fillId="7" fontId="1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.jpg"/><Relationship Id="rId11" Type="http://schemas.openxmlformats.org/officeDocument/2006/relationships/image" Target="../media/image10.jpg"/><Relationship Id="rId22" Type="http://schemas.openxmlformats.org/officeDocument/2006/relationships/image" Target="../media/image22.png"/><Relationship Id="rId10" Type="http://schemas.openxmlformats.org/officeDocument/2006/relationships/image" Target="../media/image14.jpg"/><Relationship Id="rId21" Type="http://schemas.openxmlformats.org/officeDocument/2006/relationships/image" Target="../media/image18.jpg"/><Relationship Id="rId13" Type="http://schemas.openxmlformats.org/officeDocument/2006/relationships/image" Target="../media/image17.jpg"/><Relationship Id="rId12" Type="http://schemas.openxmlformats.org/officeDocument/2006/relationships/image" Target="../media/image19.jpg"/><Relationship Id="rId23" Type="http://schemas.openxmlformats.org/officeDocument/2006/relationships/image" Target="../media/image15.png"/><Relationship Id="rId1" Type="http://schemas.openxmlformats.org/officeDocument/2006/relationships/image" Target="../media/image21.png"/><Relationship Id="rId2" Type="http://schemas.openxmlformats.org/officeDocument/2006/relationships/image" Target="../media/image2.jpg"/><Relationship Id="rId3" Type="http://schemas.openxmlformats.org/officeDocument/2006/relationships/image" Target="../media/image7.jpg"/><Relationship Id="rId4" Type="http://schemas.openxmlformats.org/officeDocument/2006/relationships/image" Target="../media/image13.jpg"/><Relationship Id="rId9" Type="http://schemas.openxmlformats.org/officeDocument/2006/relationships/image" Target="../media/image5.jpg"/><Relationship Id="rId15" Type="http://schemas.openxmlformats.org/officeDocument/2006/relationships/image" Target="../media/image3.jpg"/><Relationship Id="rId14" Type="http://schemas.openxmlformats.org/officeDocument/2006/relationships/image" Target="../media/image20.jpg"/><Relationship Id="rId17" Type="http://schemas.openxmlformats.org/officeDocument/2006/relationships/image" Target="../media/image4.jpg"/><Relationship Id="rId16" Type="http://schemas.openxmlformats.org/officeDocument/2006/relationships/image" Target="../media/image16.jpg"/><Relationship Id="rId5" Type="http://schemas.openxmlformats.org/officeDocument/2006/relationships/image" Target="../media/image6.jpg"/><Relationship Id="rId19" Type="http://schemas.openxmlformats.org/officeDocument/2006/relationships/image" Target="../media/image23.jpg"/><Relationship Id="rId6" Type="http://schemas.openxmlformats.org/officeDocument/2006/relationships/image" Target="../media/image8.png"/><Relationship Id="rId18" Type="http://schemas.openxmlformats.org/officeDocument/2006/relationships/image" Target="../media/image12.jpg"/><Relationship Id="rId7" Type="http://schemas.openxmlformats.org/officeDocument/2006/relationships/image" Target="../media/image1.jpg"/><Relationship Id="rId8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31</xdr:row>
      <xdr:rowOff>0</xdr:rowOff>
    </xdr:from>
    <xdr:ext cx="2533650" cy="323850"/>
    <xdr:sp>
      <xdr:nvSpPr>
        <xdr:cNvPr descr="https://mail.google.com/mail/u/0?ui=2&amp;ik=017d66551e&amp;attid=0.1&amp;permmsgid=msg-f:1746336550847279254&amp;th=183c3bd72b887096&amp;view=fimg&amp;fur=ip&amp;sz=s0-l75-ft&amp;attbid=ANGjdJ-o_H913yLlBsSVY71uE4FSliGx3d4nZaUlhH-iY-RpIcnHAtzM7E6tcOjBhkGDKAQzQy-qd3xSiibfNKKxKD8y8s_GTbconglYTgPJaGkeiYLYoHEvbyJVrIo&amp;disp=emb&amp;realattid=849a339c22e95267_0.1.1" id="3" name="Shape 3"/>
        <xdr:cNvSpPr/>
      </xdr:nvSpPr>
      <xdr:spPr>
        <a:xfrm>
          <a:off x="4083938" y="3622838"/>
          <a:ext cx="25241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114300</xdr:colOff>
      <xdr:row>53</xdr:row>
      <xdr:rowOff>38100</xdr:rowOff>
    </xdr:from>
    <xdr:ext cx="628650" cy="56197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28575</xdr:rowOff>
    </xdr:from>
    <xdr:ext cx="1457325" cy="10477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33</xdr:row>
      <xdr:rowOff>19050</xdr:rowOff>
    </xdr:from>
    <xdr:ext cx="1095375" cy="723900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42</xdr:row>
      <xdr:rowOff>28575</xdr:rowOff>
    </xdr:from>
    <xdr:ext cx="1019175" cy="685800"/>
    <xdr:pic>
      <xdr:nvPicPr>
        <xdr:cNvPr id="0" name="image13.jp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36</xdr:row>
      <xdr:rowOff>19050</xdr:rowOff>
    </xdr:from>
    <xdr:ext cx="1019175" cy="67627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1</xdr:row>
      <xdr:rowOff>209550</xdr:rowOff>
    </xdr:from>
    <xdr:ext cx="276225" cy="209550"/>
    <xdr:pic>
      <xdr:nvPicPr>
        <xdr:cNvPr descr="This is a bombshell: US lawmakers blast FB over Instagram hurting teens"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</xdr:row>
      <xdr:rowOff>171450</xdr:rowOff>
    </xdr:from>
    <xdr:ext cx="276225" cy="247650"/>
    <xdr:pic>
      <xdr:nvPicPr>
        <xdr:cNvPr descr="Инфлуенсърка се оплака: Instagram триел профила ѝ, била твърде красива |  Bunt"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29</xdr:row>
      <xdr:rowOff>28575</xdr:rowOff>
    </xdr:from>
    <xdr:ext cx="1019175" cy="714375"/>
    <xdr:pic>
      <xdr:nvPicPr>
        <xdr:cNvPr descr="Газови отоплителни гъби Enders | 🔥 Немски газови отоплители"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142875</xdr:colOff>
      <xdr:row>20</xdr:row>
      <xdr:rowOff>114300</xdr:rowOff>
    </xdr:from>
    <xdr:ext cx="866775" cy="428625"/>
    <xdr:pic>
      <xdr:nvPicPr>
        <xdr:cNvPr descr="Epson EB-X6 - Epson" id="0" name="image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85725</xdr:colOff>
      <xdr:row>45</xdr:row>
      <xdr:rowOff>9525</xdr:rowOff>
    </xdr:from>
    <xdr:ext cx="1019175" cy="733425"/>
    <xdr:pic>
      <xdr:nvPicPr>
        <xdr:cNvPr descr="Dj spinning records Stock Photos - Page 1 : Masterfile" id="0" name="image14.jp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61</xdr:row>
      <xdr:rowOff>28575</xdr:rowOff>
    </xdr:from>
    <xdr:ext cx="723900" cy="685800"/>
    <xdr:pic>
      <xdr:nvPicPr>
        <xdr:cNvPr descr="Коктейлна маса | Оборудване за кетъринг във Варна | CCC" id="0" name="image1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9525</xdr:colOff>
      <xdr:row>64</xdr:row>
      <xdr:rowOff>28575</xdr:rowOff>
    </xdr:from>
    <xdr:ext cx="628650" cy="676275"/>
    <xdr:pic>
      <xdr:nvPicPr>
        <xdr:cNvPr descr="Бар Столове | Мебели онлайн - Мебелисто" id="0" name="image1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67</xdr:row>
      <xdr:rowOff>28575</xdr:rowOff>
    </xdr:from>
    <xdr:ext cx="542925" cy="647700"/>
    <xdr:pic>
      <xdr:nvPicPr>
        <xdr:cNvPr descr="Цени на кетъринг мебели. Сгъваеми маси и столове - Tools Panda" id="0" name="image1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142875</xdr:colOff>
      <xdr:row>76</xdr:row>
      <xdr:rowOff>28575</xdr:rowOff>
    </xdr:from>
    <xdr:ext cx="628650" cy="695325"/>
    <xdr:pic>
      <xdr:nvPicPr>
        <xdr:cNvPr descr="Стол Era Black" id="0" name="image2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76200</xdr:rowOff>
    </xdr:from>
    <xdr:ext cx="647700" cy="647700"/>
    <xdr:pic>
      <xdr:nvPicPr>
        <xdr:cNvPr descr="Флипчарт Vario" id="0" name="image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180975</xdr:colOff>
      <xdr:row>26</xdr:row>
      <xdr:rowOff>57150</xdr:rowOff>
    </xdr:from>
    <xdr:ext cx="276225" cy="190500"/>
    <xdr:pic>
      <xdr:nvPicPr>
        <xdr:cNvPr descr="Безжични микрофони SP19S, Приемник, 2бр. микрофони + Микрофон тип брошка  (Безжични микрофони SP19S, Приемник, 2бр. микрофони + Микрофон тип брошка,  SP19S) от ELECTRON.BG" id="0" name="image1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104775</xdr:colOff>
      <xdr:row>38</xdr:row>
      <xdr:rowOff>228600</xdr:rowOff>
    </xdr:from>
    <xdr:ext cx="857250" cy="733425"/>
    <xdr:pic>
      <xdr:nvPicPr>
        <xdr:cNvPr descr="Хигиенистки в заведение за бързо хранене - Обяви Плюс"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58</xdr:row>
      <xdr:rowOff>38100</xdr:rowOff>
    </xdr:from>
    <xdr:ext cx="514350" cy="685800"/>
    <xdr:pic>
      <xdr:nvPicPr>
        <xdr:cNvPr id="0" name="image1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57150</xdr:colOff>
      <xdr:row>48</xdr:row>
      <xdr:rowOff>57150</xdr:rowOff>
    </xdr:from>
    <xdr:ext cx="1104900" cy="657225"/>
    <xdr:pic>
      <xdr:nvPicPr>
        <xdr:cNvPr descr="Канят за участие във Втория салон на казанлъшките фотографи - Ст. Загора -  DarikNews.bg" id="0" name="image2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70</xdr:row>
      <xdr:rowOff>19050</xdr:rowOff>
    </xdr:from>
    <xdr:ext cx="676275" cy="714375"/>
    <xdr:pic>
      <xdr:nvPicPr>
        <xdr:cNvPr descr="Добре дошъл в Хотелско и ресторантьорско оборудване" id="0" name="image1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152400</xdr:colOff>
      <xdr:row>73</xdr:row>
      <xdr:rowOff>19050</xdr:rowOff>
    </xdr:from>
    <xdr:ext cx="723900" cy="695325"/>
    <xdr:pic>
      <xdr:nvPicPr>
        <xdr:cNvPr descr="Стол Шивари HM8058.02 - бял - от Мебели Богдан на супер цена" id="0" name="image18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97</xdr:row>
      <xdr:rowOff>0</xdr:rowOff>
    </xdr:from>
    <xdr:ext cx="485775" cy="600075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97</xdr:row>
      <xdr:rowOff>0</xdr:rowOff>
    </xdr:from>
    <xdr:ext cx="495300" cy="590550"/>
    <xdr:pic>
      <xdr:nvPicPr>
        <xdr:cNvPr id="0" name="image1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rgel360.bg/%d1%83%d1%81%d0%bb%d1%83%d0%b3%d0%b8/" TargetMode="External"/><Relationship Id="rId2" Type="http://schemas.openxmlformats.org/officeDocument/2006/relationships/hyperlink" Target="https://margel360.bg/%d0%b0%d0%bb%d0%ba%d0%be%d1%85%d0%be%d0%bb/" TargetMode="External"/><Relationship Id="rId3" Type="http://schemas.openxmlformats.org/officeDocument/2006/relationships/hyperlink" Target="http://www.linstant.bg/" TargetMode="External"/><Relationship Id="rId4" Type="http://schemas.openxmlformats.org/officeDocument/2006/relationships/hyperlink" Target="https://vipcatering.bg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2.71"/>
    <col customWidth="1" min="8" max="8" width="9.86"/>
    <col customWidth="1" min="9" max="9" width="3.43"/>
    <col customWidth="1" min="10" max="10" width="4.86"/>
    <col customWidth="1" min="11" max="26" width="2.71"/>
    <col customWidth="1" min="27" max="27" width="3.57"/>
    <col customWidth="1" min="28" max="35" width="2.71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 t="s">
        <v>0</v>
      </c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4"/>
      <c r="Z2" s="4" t="s">
        <v>2</v>
      </c>
    </row>
    <row r="3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5" t="s">
        <v>3</v>
      </c>
      <c r="T3" s="1"/>
      <c r="U3" s="1"/>
      <c r="V3" s="6" t="s">
        <v>4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</row>
    <row r="4" ht="17.25" customHeight="1">
      <c r="A4" s="1"/>
      <c r="B4" s="1"/>
      <c r="C4" s="1"/>
      <c r="D4" s="1"/>
      <c r="E4" s="1"/>
      <c r="F4" s="1"/>
      <c r="G4" s="1"/>
      <c r="H4" s="1"/>
      <c r="I4" s="1"/>
      <c r="J4" s="9" t="s">
        <v>5</v>
      </c>
      <c r="Q4" s="5"/>
      <c r="R4" s="5"/>
      <c r="S4" s="5"/>
      <c r="T4" s="1"/>
      <c r="U4" s="1"/>
      <c r="V4" s="10" t="s">
        <v>6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2"/>
    </row>
    <row r="5">
      <c r="A5" s="13"/>
      <c r="B5" s="13"/>
      <c r="C5" s="14"/>
      <c r="D5" s="14"/>
      <c r="E5" s="14"/>
      <c r="F5" s="14"/>
      <c r="G5" s="14"/>
      <c r="H5" s="14"/>
      <c r="I5" s="14"/>
      <c r="J5" s="15" t="s">
        <v>7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>
      <c r="A6" s="17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8">
        <v>781.0</v>
      </c>
      <c r="U6" s="19"/>
      <c r="V6" s="19"/>
      <c r="W6" s="20" t="s">
        <v>9</v>
      </c>
      <c r="X6" s="21">
        <v>46190.0</v>
      </c>
      <c r="Y6" s="19"/>
      <c r="Z6" s="19"/>
      <c r="AA6" s="19"/>
      <c r="AB6" s="19"/>
      <c r="AC6" s="19"/>
      <c r="AD6" s="19"/>
      <c r="AE6" s="19"/>
      <c r="AF6" s="19"/>
      <c r="AG6" s="22"/>
      <c r="AH6" s="22"/>
      <c r="AI6" s="23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5"/>
      <c r="AH7" s="25"/>
      <c r="AI7" s="25"/>
    </row>
    <row r="8">
      <c r="A8" s="26" t="s">
        <v>10</v>
      </c>
      <c r="B8" s="27"/>
      <c r="C8" s="27"/>
      <c r="D8" s="27"/>
      <c r="E8" s="27"/>
      <c r="F8" s="27"/>
      <c r="G8" s="27"/>
      <c r="H8" s="27"/>
      <c r="I8" s="28"/>
      <c r="J8" s="29">
        <v>46536.0</v>
      </c>
      <c r="K8" s="27"/>
      <c r="L8" s="27"/>
      <c r="M8" s="27"/>
      <c r="N8" s="27"/>
      <c r="O8" s="27"/>
      <c r="P8" s="27"/>
      <c r="Q8" s="27"/>
      <c r="R8" s="27"/>
      <c r="S8" s="27"/>
      <c r="T8" s="28"/>
      <c r="U8" s="30" t="s">
        <v>11</v>
      </c>
      <c r="V8" s="27"/>
      <c r="W8" s="28"/>
      <c r="X8" s="31" t="s">
        <v>12</v>
      </c>
      <c r="Y8" s="28"/>
      <c r="Z8" s="32">
        <v>0.7916666666666666</v>
      </c>
      <c r="AA8" s="27"/>
      <c r="AB8" s="27"/>
      <c r="AC8" s="28"/>
      <c r="AD8" s="33" t="s">
        <v>13</v>
      </c>
      <c r="AE8" s="28"/>
      <c r="AF8" s="34" t="s">
        <v>14</v>
      </c>
      <c r="AG8" s="27"/>
      <c r="AH8" s="27"/>
      <c r="AI8" s="35"/>
    </row>
    <row r="9" ht="12.75" customHeight="1">
      <c r="A9" s="36"/>
      <c r="B9" s="7"/>
      <c r="C9" s="7"/>
      <c r="D9" s="37"/>
      <c r="E9" s="37"/>
      <c r="F9" s="37"/>
      <c r="G9" s="37"/>
      <c r="H9" s="37"/>
      <c r="I9" s="37"/>
      <c r="J9" s="37"/>
      <c r="K9" s="37"/>
      <c r="L9" s="38"/>
      <c r="M9" s="38"/>
      <c r="N9" s="38"/>
      <c r="O9" s="38"/>
      <c r="P9" s="39"/>
      <c r="Q9" s="39"/>
      <c r="R9" s="39"/>
      <c r="S9" s="39"/>
      <c r="T9" s="39"/>
      <c r="U9" s="40"/>
      <c r="V9" s="40"/>
      <c r="W9" s="40"/>
      <c r="X9" s="41"/>
      <c r="Y9" s="41"/>
      <c r="Z9" s="41"/>
      <c r="AA9" s="41"/>
      <c r="AB9" s="41"/>
      <c r="AC9" s="41"/>
      <c r="AD9" s="41"/>
      <c r="AE9" s="41"/>
      <c r="AF9" s="40"/>
      <c r="AG9" s="42"/>
      <c r="AH9" s="42"/>
      <c r="AI9" s="43"/>
    </row>
    <row r="10" ht="17.25" customHeight="1">
      <c r="A10" s="44" t="s">
        <v>15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6"/>
    </row>
    <row r="11" ht="17.25" customHeight="1">
      <c r="A11" s="47" t="s">
        <v>16</v>
      </c>
      <c r="D11" s="4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1"/>
      <c r="U11" s="52" t="s">
        <v>17</v>
      </c>
      <c r="V11" s="50"/>
      <c r="W11" s="50"/>
      <c r="X11" s="50"/>
      <c r="Y11" s="50"/>
      <c r="Z11" s="51"/>
      <c r="AA11" s="52" t="s">
        <v>18</v>
      </c>
      <c r="AB11" s="50"/>
      <c r="AC11" s="50"/>
      <c r="AD11" s="50"/>
      <c r="AE11" s="50"/>
      <c r="AF11" s="50"/>
      <c r="AG11" s="50"/>
      <c r="AH11" s="50"/>
      <c r="AI11" s="53"/>
    </row>
    <row r="12" ht="17.25" customHeight="1">
      <c r="A12" s="47" t="s">
        <v>19</v>
      </c>
      <c r="D12" s="48"/>
      <c r="E12" s="54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1"/>
      <c r="U12" s="55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7"/>
    </row>
    <row r="13" ht="17.25" customHeight="1">
      <c r="A13" s="58" t="s">
        <v>20</v>
      </c>
      <c r="B13" s="59"/>
      <c r="C13" s="59"/>
      <c r="D13" s="60"/>
      <c r="E13" s="61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1"/>
      <c r="T13" s="59"/>
      <c r="AJ13" s="59"/>
      <c r="AK13" s="59"/>
      <c r="AL13" s="59"/>
    </row>
    <row r="14">
      <c r="A14" s="44" t="s">
        <v>21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62" t="s">
        <v>22</v>
      </c>
      <c r="AD14" s="63"/>
      <c r="AE14" s="64"/>
      <c r="AF14" s="65" t="s">
        <v>23</v>
      </c>
      <c r="AG14" s="56"/>
      <c r="AH14" s="56"/>
      <c r="AI14" s="57"/>
    </row>
    <row r="15">
      <c r="A15" s="58" t="s">
        <v>24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66">
        <v>1360.0</v>
      </c>
      <c r="R15" s="67"/>
      <c r="S15" s="67"/>
      <c r="T15" s="67"/>
      <c r="U15" s="67"/>
      <c r="V15" s="68">
        <f>Q15*1.95583</f>
        <v>2659.9288</v>
      </c>
      <c r="W15" s="56"/>
      <c r="X15" s="56"/>
      <c r="Y15" s="56"/>
      <c r="Z15" s="56"/>
      <c r="AA15" s="69">
        <v>1.0</v>
      </c>
      <c r="AB15" s="51"/>
      <c r="AC15" s="70"/>
      <c r="AD15" s="50"/>
      <c r="AE15" s="51"/>
      <c r="AF15" s="59"/>
      <c r="AG15" s="71">
        <f>(Q15-(Q15*AC15%))*AA15</f>
        <v>1360</v>
      </c>
      <c r="AH15" s="50"/>
      <c r="AI15" s="53"/>
    </row>
    <row r="16">
      <c r="A16" s="58" t="s">
        <v>25</v>
      </c>
      <c r="B16" s="59"/>
      <c r="C16" s="59"/>
      <c r="D16" s="59"/>
      <c r="E16" s="59"/>
      <c r="F16" s="72">
        <v>15.338</v>
      </c>
      <c r="G16" s="56"/>
      <c r="H16" s="56"/>
      <c r="I16" s="56"/>
      <c r="J16" s="73">
        <f>F16*1.95583</f>
        <v>29.99852054</v>
      </c>
      <c r="K16" s="56"/>
      <c r="L16" s="56"/>
      <c r="M16" s="74" t="s">
        <v>26</v>
      </c>
      <c r="N16" s="56"/>
      <c r="O16" s="56"/>
      <c r="P16" s="56"/>
      <c r="Q16" s="59"/>
      <c r="R16" s="59"/>
      <c r="S16" s="59"/>
      <c r="T16" s="59"/>
      <c r="U16" s="75" t="s">
        <v>27</v>
      </c>
      <c r="V16" s="56"/>
      <c r="W16" s="56"/>
      <c r="X16" s="56"/>
      <c r="Y16" s="56"/>
      <c r="Z16" s="76"/>
      <c r="AA16" s="77"/>
      <c r="AB16" s="51"/>
      <c r="AC16" s="78"/>
      <c r="AD16" s="50"/>
      <c r="AE16" s="51"/>
      <c r="AF16" s="79"/>
      <c r="AG16" s="71">
        <f>(F16-(F16*AC16%))*AA16</f>
        <v>0</v>
      </c>
      <c r="AH16" s="50"/>
      <c r="AI16" s="53"/>
    </row>
    <row r="17">
      <c r="A17" s="58" t="s">
        <v>28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80">
        <v>127.83</v>
      </c>
      <c r="M17" s="56"/>
      <c r="N17" s="56"/>
      <c r="O17" s="56"/>
      <c r="P17" s="81">
        <f>L17*1.95583</f>
        <v>250.0137489</v>
      </c>
      <c r="Q17" s="56"/>
      <c r="R17" s="56"/>
      <c r="S17" s="56"/>
      <c r="T17" s="59"/>
      <c r="U17" s="59"/>
      <c r="V17" s="59"/>
      <c r="W17" s="59"/>
      <c r="X17" s="59"/>
      <c r="Y17" s="82" t="s">
        <v>29</v>
      </c>
      <c r="Z17" s="76"/>
      <c r="AA17" s="83"/>
      <c r="AB17" s="51"/>
      <c r="AC17" s="78"/>
      <c r="AD17" s="50"/>
      <c r="AE17" s="51"/>
      <c r="AF17" s="59"/>
      <c r="AG17" s="71">
        <f>(L17-(L17*AC17%))*AA17</f>
        <v>0</v>
      </c>
      <c r="AH17" s="50"/>
      <c r="AI17" s="53"/>
    </row>
    <row r="18">
      <c r="A18" s="84" t="s">
        <v>30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7"/>
    </row>
    <row r="19">
      <c r="A19" s="88" t="s">
        <v>31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1"/>
    </row>
    <row r="20" ht="15.75" customHeight="1">
      <c r="A20" s="44" t="s">
        <v>32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92"/>
    </row>
    <row r="21" ht="20.25" customHeight="1">
      <c r="A21" s="93" t="s">
        <v>33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94"/>
      <c r="AB21" s="59"/>
      <c r="AC21" s="59"/>
      <c r="AD21" s="59"/>
      <c r="AE21" s="59"/>
      <c r="AF21" s="59"/>
      <c r="AG21" s="59"/>
      <c r="AH21" s="59"/>
      <c r="AI21" s="95"/>
    </row>
    <row r="22" ht="20.25" customHeight="1">
      <c r="A22" s="9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95"/>
    </row>
    <row r="23" ht="20.25" customHeight="1">
      <c r="A23" s="96"/>
      <c r="B23" s="97"/>
      <c r="C23" s="98"/>
      <c r="F23" s="99">
        <v>92.03</v>
      </c>
      <c r="I23" s="98"/>
      <c r="J23" s="100" t="s">
        <v>34</v>
      </c>
      <c r="K23" s="11"/>
      <c r="L23" s="11"/>
      <c r="M23" s="11"/>
      <c r="N23" s="11"/>
      <c r="V23" s="101" t="s">
        <v>35</v>
      </c>
      <c r="Z23" s="102"/>
      <c r="AA23" s="103"/>
      <c r="AE23" s="104"/>
      <c r="AF23" s="104"/>
      <c r="AG23" s="105">
        <f>AA21*F23</f>
        <v>0</v>
      </c>
      <c r="AH23" s="50"/>
      <c r="AI23" s="53"/>
    </row>
    <row r="24" ht="19.5" customHeight="1">
      <c r="A24" s="106" t="s">
        <v>36</v>
      </c>
      <c r="B24" s="56"/>
      <c r="C24" s="56"/>
      <c r="D24" s="56"/>
      <c r="E24" s="56"/>
      <c r="F24" s="56"/>
      <c r="G24" s="107">
        <v>24.54</v>
      </c>
      <c r="H24" s="56"/>
      <c r="I24" s="108" t="s">
        <v>37</v>
      </c>
      <c r="J24" s="109" t="s">
        <v>38</v>
      </c>
      <c r="K24" s="56"/>
      <c r="L24" s="110"/>
      <c r="M24" s="110"/>
      <c r="N24" s="110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2"/>
      <c r="AA24" s="113"/>
      <c r="AB24" s="111"/>
      <c r="AC24" s="111"/>
      <c r="AD24" s="111"/>
      <c r="AE24" s="114"/>
      <c r="AF24" s="114"/>
      <c r="AG24" s="115"/>
      <c r="AH24" s="115"/>
      <c r="AI24" s="116"/>
    </row>
    <row r="25" ht="19.5" customHeight="1">
      <c r="A25" s="117"/>
      <c r="B25" s="118"/>
      <c r="C25" s="119"/>
      <c r="D25" s="56"/>
      <c r="E25" s="56"/>
      <c r="F25" s="56"/>
      <c r="G25" s="56"/>
      <c r="H25" s="120"/>
      <c r="I25" s="108"/>
      <c r="J25" s="110"/>
      <c r="K25" s="110"/>
      <c r="L25" s="110"/>
      <c r="M25" s="110"/>
      <c r="N25" s="110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2"/>
      <c r="AA25" s="121"/>
      <c r="AB25" s="111"/>
      <c r="AC25" s="111"/>
      <c r="AD25" s="111"/>
      <c r="AE25" s="114"/>
      <c r="AF25" s="114"/>
      <c r="AG25" s="115"/>
      <c r="AH25" s="115"/>
      <c r="AI25" s="116"/>
    </row>
    <row r="26" ht="19.5" customHeight="1">
      <c r="A26" s="122"/>
      <c r="B26" s="108"/>
      <c r="C26" s="108"/>
      <c r="D26" s="108"/>
      <c r="E26" s="108"/>
      <c r="F26" s="123"/>
      <c r="G26" s="123"/>
      <c r="H26" s="123"/>
      <c r="I26" s="108"/>
      <c r="J26" s="110"/>
      <c r="K26" s="110"/>
      <c r="L26" s="110"/>
      <c r="M26" s="110"/>
      <c r="N26" s="110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2"/>
      <c r="AA26" s="121"/>
      <c r="AB26" s="111"/>
      <c r="AC26" s="111"/>
      <c r="AD26" s="111"/>
      <c r="AE26" s="114"/>
      <c r="AF26" s="114"/>
      <c r="AG26" s="124">
        <f>G24*AA24</f>
        <v>0</v>
      </c>
      <c r="AH26" s="50"/>
      <c r="AI26" s="53"/>
    </row>
    <row r="27" ht="16.5" customHeight="1">
      <c r="A27" s="125" t="s">
        <v>39</v>
      </c>
      <c r="F27" s="126">
        <v>49.59</v>
      </c>
      <c r="H27" s="126" t="s">
        <v>37</v>
      </c>
      <c r="I27" s="97" t="s">
        <v>40</v>
      </c>
      <c r="K27" s="127"/>
      <c r="L27" s="127"/>
      <c r="M27" s="127"/>
      <c r="N27" s="127"/>
      <c r="Z27" s="102"/>
      <c r="AA27" s="113"/>
      <c r="AE27" s="104"/>
      <c r="AF27" s="104"/>
      <c r="AG27" s="128"/>
      <c r="AH27" s="128"/>
      <c r="AI27" s="129"/>
    </row>
    <row r="28" ht="16.5" customHeight="1">
      <c r="A28" s="96"/>
      <c r="B28" s="97"/>
      <c r="C28" s="97"/>
      <c r="D28" s="97"/>
      <c r="E28" s="97"/>
      <c r="F28" s="126"/>
      <c r="H28" s="97"/>
      <c r="I28" s="126"/>
      <c r="M28" s="97"/>
      <c r="N28" s="97"/>
      <c r="O28" s="97"/>
      <c r="Z28" s="102"/>
      <c r="AA28" s="103"/>
      <c r="AE28" s="104"/>
      <c r="AF28" s="104"/>
      <c r="AG28" s="128"/>
      <c r="AH28" s="128"/>
      <c r="AI28" s="129"/>
    </row>
    <row r="29" ht="17.25" customHeight="1">
      <c r="A29" s="130" t="s">
        <v>41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Z29" s="102"/>
      <c r="AA29" s="103"/>
      <c r="AE29" s="104"/>
      <c r="AF29" s="104"/>
      <c r="AG29" s="105">
        <f>AA27*F27</f>
        <v>0</v>
      </c>
      <c r="AH29" s="50"/>
      <c r="AI29" s="53"/>
    </row>
    <row r="30" ht="19.5" customHeight="1">
      <c r="A30" s="131" t="s">
        <v>42</v>
      </c>
      <c r="B30" s="132"/>
      <c r="C30" s="132"/>
      <c r="D30" s="132"/>
      <c r="E30" s="132"/>
      <c r="F30" s="133"/>
      <c r="G30" s="133"/>
      <c r="H30" s="133"/>
      <c r="I30" s="132"/>
      <c r="J30" s="134"/>
      <c r="K30" s="135"/>
      <c r="L30" s="67"/>
      <c r="M30" s="134"/>
      <c r="N30" s="134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7"/>
      <c r="AA30" s="113"/>
      <c r="AB30" s="136"/>
      <c r="AC30" s="136"/>
      <c r="AD30" s="136"/>
      <c r="AE30" s="138"/>
      <c r="AF30" s="138"/>
      <c r="AG30" s="115"/>
      <c r="AH30" s="115"/>
      <c r="AI30" s="116"/>
    </row>
    <row r="31" ht="19.5" customHeight="1">
      <c r="A31" s="139"/>
      <c r="B31" s="140"/>
      <c r="C31" s="140"/>
      <c r="D31" s="140"/>
      <c r="E31" s="140"/>
      <c r="F31" s="141"/>
      <c r="G31" s="141"/>
      <c r="H31" s="141"/>
      <c r="I31" s="140"/>
      <c r="J31" s="108"/>
      <c r="K31" s="142"/>
      <c r="L31" s="142"/>
      <c r="M31" s="108"/>
      <c r="N31" s="108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2"/>
      <c r="AA31" s="121"/>
      <c r="AB31" s="111"/>
      <c r="AC31" s="111"/>
      <c r="AD31" s="111"/>
      <c r="AE31" s="114"/>
      <c r="AF31" s="114"/>
      <c r="AG31" s="115"/>
      <c r="AH31" s="115"/>
      <c r="AI31" s="116"/>
    </row>
    <row r="32" ht="19.5" customHeight="1">
      <c r="A32" s="143" t="s">
        <v>43</v>
      </c>
      <c r="B32" s="144"/>
      <c r="C32" s="144"/>
      <c r="D32" s="144"/>
      <c r="E32" s="144"/>
      <c r="F32" s="144"/>
      <c r="G32" s="144"/>
      <c r="H32" s="144"/>
      <c r="I32" s="144"/>
      <c r="J32" s="144"/>
      <c r="K32" s="145">
        <v>74.14</v>
      </c>
      <c r="L32" s="56"/>
      <c r="M32" s="146" t="s">
        <v>37</v>
      </c>
      <c r="N32" s="56"/>
      <c r="O32" s="111"/>
      <c r="P32" s="111"/>
      <c r="Q32" s="111"/>
      <c r="R32" s="111"/>
      <c r="S32" s="111"/>
      <c r="T32" s="111"/>
      <c r="U32" s="147" t="s">
        <v>44</v>
      </c>
      <c r="V32" s="56"/>
      <c r="W32" s="56"/>
      <c r="X32" s="111"/>
      <c r="Y32" s="111"/>
      <c r="Z32" s="112"/>
      <c r="AA32" s="121"/>
      <c r="AB32" s="111"/>
      <c r="AC32" s="111"/>
      <c r="AD32" s="111"/>
      <c r="AE32" s="114"/>
      <c r="AF32" s="114"/>
      <c r="AG32" s="124">
        <f>AA30*K32</f>
        <v>0</v>
      </c>
      <c r="AH32" s="50"/>
      <c r="AI32" s="53"/>
    </row>
    <row r="33" ht="15.75" customHeight="1">
      <c r="A33" s="44" t="s">
        <v>45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92"/>
    </row>
    <row r="34" ht="20.25" customHeight="1">
      <c r="A34" s="148" t="s">
        <v>46</v>
      </c>
      <c r="Z34" s="149"/>
      <c r="AA34" s="51"/>
      <c r="AB34" s="101"/>
      <c r="AE34" s="104"/>
      <c r="AF34" s="104"/>
      <c r="AG34" s="105" t="str">
        <f>Z34</f>
        <v/>
      </c>
      <c r="AH34" s="50"/>
      <c r="AI34" s="53"/>
      <c r="AJ34" s="101"/>
    </row>
    <row r="35" ht="18.0" customHeight="1">
      <c r="Z35" s="103"/>
      <c r="AA35" s="103"/>
      <c r="AE35" s="104"/>
      <c r="AF35" s="104"/>
      <c r="AG35" s="128"/>
      <c r="AI35" s="150"/>
    </row>
    <row r="36" ht="15.0" customHeight="1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Z36" s="101"/>
      <c r="AE36" s="104"/>
      <c r="AF36" s="104"/>
      <c r="AG36" s="128"/>
      <c r="AH36" s="128"/>
      <c r="AI36" s="129"/>
    </row>
    <row r="37" ht="18.0" customHeight="1">
      <c r="A37" s="153" t="s">
        <v>47</v>
      </c>
      <c r="B37" s="56"/>
      <c r="C37" s="56"/>
      <c r="D37" s="56"/>
      <c r="E37" s="56"/>
      <c r="F37" s="56"/>
      <c r="G37" s="56"/>
      <c r="H37" s="111"/>
      <c r="I37" s="111"/>
      <c r="J37" s="154">
        <v>86.92</v>
      </c>
      <c r="K37" s="56"/>
      <c r="L37" s="111" t="s">
        <v>37</v>
      </c>
      <c r="M37" s="147" t="s">
        <v>48</v>
      </c>
      <c r="N37" s="56"/>
      <c r="O37" s="56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2"/>
      <c r="AA37" s="113"/>
      <c r="AB37" s="111"/>
      <c r="AC37" s="111"/>
      <c r="AD37" s="111"/>
      <c r="AE37" s="114"/>
      <c r="AF37" s="114"/>
      <c r="AG37" s="124">
        <f>AA37*J37</f>
        <v>0</v>
      </c>
      <c r="AH37" s="50"/>
      <c r="AI37" s="53"/>
    </row>
    <row r="38" ht="18.0" customHeight="1">
      <c r="A38" s="153" t="s">
        <v>49</v>
      </c>
      <c r="B38" s="56"/>
      <c r="C38" s="56"/>
      <c r="D38" s="56"/>
      <c r="E38" s="56"/>
      <c r="F38" s="155"/>
      <c r="G38" s="155"/>
      <c r="H38" s="111"/>
      <c r="I38" s="111"/>
      <c r="J38" s="156"/>
      <c r="K38" s="156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2"/>
      <c r="AA38" s="113"/>
      <c r="AB38" s="111"/>
      <c r="AC38" s="111"/>
      <c r="AD38" s="111"/>
      <c r="AE38" s="114"/>
      <c r="AF38" s="114"/>
      <c r="AG38" s="157">
        <f>AA38*K39</f>
        <v>0</v>
      </c>
      <c r="AH38" s="158"/>
      <c r="AI38" s="159"/>
    </row>
    <row r="39" ht="21.0" customHeight="1">
      <c r="A39" s="143" t="s">
        <v>50</v>
      </c>
      <c r="B39" s="144"/>
      <c r="C39" s="144"/>
      <c r="D39" s="144"/>
      <c r="E39" s="144"/>
      <c r="F39" s="160" t="s">
        <v>51</v>
      </c>
      <c r="G39" s="56"/>
      <c r="H39" s="56"/>
      <c r="I39" s="56"/>
      <c r="J39" s="56"/>
      <c r="K39" s="145">
        <v>17.9</v>
      </c>
      <c r="L39" s="56"/>
      <c r="M39" s="160" t="s">
        <v>52</v>
      </c>
      <c r="N39" s="56"/>
      <c r="O39" s="111"/>
      <c r="P39" s="111"/>
      <c r="Q39" s="111"/>
      <c r="R39" s="111"/>
      <c r="S39" s="111"/>
      <c r="T39" s="111"/>
      <c r="U39" s="147" t="s">
        <v>53</v>
      </c>
      <c r="V39" s="56"/>
      <c r="W39" s="56"/>
      <c r="X39" s="111"/>
      <c r="Y39" s="111"/>
      <c r="Z39" s="111"/>
      <c r="AA39" s="111"/>
      <c r="AB39" s="111"/>
      <c r="AC39" s="111"/>
      <c r="AD39" s="111"/>
      <c r="AE39" s="114"/>
      <c r="AF39" s="114"/>
      <c r="AG39" s="115"/>
      <c r="AH39" s="115"/>
      <c r="AI39" s="116"/>
    </row>
    <row r="40" ht="17.25" customHeight="1">
      <c r="A40" s="161" t="s">
        <v>54</v>
      </c>
      <c r="B40" s="56"/>
      <c r="C40" s="56"/>
      <c r="D40" s="56"/>
      <c r="E40" s="56"/>
      <c r="F40" s="56"/>
      <c r="G40" s="56"/>
      <c r="H40" s="56"/>
      <c r="I40" s="162"/>
      <c r="J40" s="163">
        <v>75.67</v>
      </c>
      <c r="K40" s="56"/>
      <c r="L40" s="162" t="s">
        <v>37</v>
      </c>
      <c r="M40" s="164" t="s">
        <v>55</v>
      </c>
      <c r="N40" s="56"/>
      <c r="O40" s="5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165">
        <v>1.0</v>
      </c>
      <c r="AB40" s="86"/>
      <c r="AC40" s="59"/>
      <c r="AD40" s="59"/>
      <c r="AE40" s="166"/>
      <c r="AF40" s="166"/>
      <c r="AG40" s="71">
        <f>AA40*J40</f>
        <v>75.67</v>
      </c>
      <c r="AH40" s="50"/>
      <c r="AI40" s="53"/>
    </row>
    <row r="41" ht="17.25" customHeight="1">
      <c r="A41" s="161" t="s">
        <v>49</v>
      </c>
      <c r="B41" s="56"/>
      <c r="C41" s="56"/>
      <c r="D41" s="56"/>
      <c r="E41" s="56"/>
      <c r="F41" s="167"/>
      <c r="G41" s="167"/>
      <c r="H41" s="167"/>
      <c r="I41" s="162"/>
      <c r="J41" s="168"/>
      <c r="K41" s="167"/>
      <c r="L41" s="162"/>
      <c r="M41" s="162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169"/>
      <c r="AB41" s="86"/>
      <c r="AC41" s="59"/>
      <c r="AD41" s="59"/>
      <c r="AE41" s="166"/>
      <c r="AF41" s="166"/>
      <c r="AG41" s="170">
        <f>AA41*J42</f>
        <v>0</v>
      </c>
      <c r="AH41" s="50"/>
      <c r="AI41" s="53"/>
    </row>
    <row r="42" ht="22.5" customHeight="1">
      <c r="A42" s="171"/>
      <c r="B42" s="172" t="s">
        <v>56</v>
      </c>
      <c r="C42" s="56"/>
      <c r="D42" s="56"/>
      <c r="E42" s="56"/>
      <c r="F42" s="56"/>
      <c r="G42" s="56"/>
      <c r="H42" s="56"/>
      <c r="I42" s="56"/>
      <c r="J42" s="173">
        <v>17.9</v>
      </c>
      <c r="K42" s="56"/>
      <c r="L42" s="174" t="s">
        <v>52</v>
      </c>
      <c r="M42" s="56"/>
      <c r="N42" s="86"/>
      <c r="O42" s="86"/>
      <c r="P42" s="86"/>
      <c r="Q42" s="86"/>
      <c r="R42" s="86"/>
      <c r="S42" s="86"/>
      <c r="T42" s="86"/>
      <c r="U42" s="172" t="s">
        <v>53</v>
      </c>
      <c r="V42" s="56"/>
      <c r="W42" s="56"/>
      <c r="X42" s="86"/>
      <c r="Y42" s="86"/>
      <c r="Z42" s="86"/>
      <c r="AA42" s="86"/>
      <c r="AB42" s="86"/>
      <c r="AC42" s="59"/>
      <c r="AD42" s="59"/>
      <c r="AE42" s="166"/>
      <c r="AF42" s="166"/>
      <c r="AG42" s="175"/>
      <c r="AH42" s="175"/>
      <c r="AI42" s="176"/>
    </row>
    <row r="43" ht="15.75" customHeight="1">
      <c r="A43" s="177" t="s">
        <v>57</v>
      </c>
      <c r="B43" s="178"/>
      <c r="C43" s="178"/>
      <c r="D43" s="178"/>
      <c r="E43" s="178"/>
      <c r="F43" s="179">
        <v>145.72</v>
      </c>
      <c r="G43" s="56"/>
      <c r="H43" s="180" t="s">
        <v>37</v>
      </c>
      <c r="I43" s="181" t="s">
        <v>58</v>
      </c>
      <c r="J43" s="56"/>
      <c r="K43" s="56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12"/>
      <c r="AA43" s="182"/>
      <c r="AB43" s="180"/>
      <c r="AC43" s="111"/>
      <c r="AD43" s="111"/>
      <c r="AE43" s="114"/>
      <c r="AF43" s="114"/>
      <c r="AG43" s="124">
        <f>AA43*F43</f>
        <v>0</v>
      </c>
      <c r="AH43" s="50"/>
      <c r="AI43" s="53"/>
    </row>
    <row r="44" ht="15.75" customHeight="1">
      <c r="A44" s="183" t="s">
        <v>59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69"/>
      <c r="AB44" s="180"/>
      <c r="AC44" s="111"/>
      <c r="AD44" s="111"/>
      <c r="AE44" s="114"/>
      <c r="AF44" s="114"/>
      <c r="AG44" s="184">
        <f>AA44*I45</f>
        <v>0</v>
      </c>
      <c r="AH44" s="50"/>
      <c r="AI44" s="53"/>
    </row>
    <row r="45" ht="15.75" customHeight="1">
      <c r="A45" s="185" t="s">
        <v>60</v>
      </c>
      <c r="B45" s="56"/>
      <c r="C45" s="56"/>
      <c r="D45" s="56"/>
      <c r="E45" s="56"/>
      <c r="F45" s="56"/>
      <c r="G45" s="56"/>
      <c r="H45" s="56"/>
      <c r="I45" s="186">
        <v>25.56</v>
      </c>
      <c r="J45" s="56"/>
      <c r="K45" s="187" t="s">
        <v>37</v>
      </c>
      <c r="L45" s="56"/>
      <c r="M45" s="188" t="s">
        <v>61</v>
      </c>
      <c r="N45" s="56"/>
      <c r="O45" s="56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11"/>
      <c r="AD45" s="111"/>
      <c r="AE45" s="114"/>
      <c r="AF45" s="114"/>
      <c r="AG45" s="115"/>
      <c r="AH45" s="115"/>
      <c r="AI45" s="116"/>
    </row>
    <row r="46" ht="15.75" customHeight="1">
      <c r="A46" s="189" t="s">
        <v>62</v>
      </c>
      <c r="B46" s="86"/>
      <c r="C46" s="173">
        <v>296.55</v>
      </c>
      <c r="D46" s="56"/>
      <c r="E46" s="56"/>
      <c r="F46" s="86" t="s">
        <v>37</v>
      </c>
      <c r="G46" s="86"/>
      <c r="H46" s="86" t="s">
        <v>63</v>
      </c>
      <c r="I46" s="86"/>
      <c r="J46" s="86"/>
      <c r="K46" s="86" t="s">
        <v>64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5"/>
      <c r="AA46" s="190"/>
      <c r="AB46" s="86"/>
      <c r="AC46" s="59"/>
      <c r="AD46" s="59"/>
      <c r="AE46" s="166"/>
      <c r="AF46" s="166"/>
      <c r="AG46" s="71">
        <f>AA46*C46</f>
        <v>0</v>
      </c>
      <c r="AH46" s="50"/>
      <c r="AI46" s="53"/>
    </row>
    <row r="47" ht="14.25" customHeight="1">
      <c r="A47" s="191"/>
      <c r="B47" s="56"/>
      <c r="C47" s="56"/>
      <c r="D47" s="174"/>
      <c r="E47" s="56"/>
      <c r="F47" s="56"/>
      <c r="G47" s="56"/>
      <c r="H47" s="56"/>
      <c r="I47" s="56"/>
      <c r="J47" s="56"/>
      <c r="K47" s="56"/>
      <c r="L47" s="56"/>
      <c r="M47" s="86"/>
      <c r="N47" s="86"/>
      <c r="O47" s="86"/>
      <c r="P47" s="86"/>
      <c r="Q47" s="86"/>
      <c r="R47" s="86"/>
      <c r="S47" s="86"/>
      <c r="T47" s="86"/>
      <c r="U47" s="86"/>
      <c r="V47" s="174" t="s">
        <v>65</v>
      </c>
      <c r="W47" s="56"/>
      <c r="X47" s="56"/>
      <c r="Y47" s="56"/>
      <c r="Z47" s="192"/>
      <c r="AA47" s="193"/>
      <c r="AB47" s="86"/>
      <c r="AC47" s="59"/>
      <c r="AD47" s="59"/>
      <c r="AE47" s="166"/>
      <c r="AF47" s="166"/>
      <c r="AG47" s="170">
        <f>AA47*K48</f>
        <v>0</v>
      </c>
      <c r="AH47" s="50"/>
      <c r="AI47" s="53"/>
    </row>
    <row r="48" ht="30.0" customHeight="1">
      <c r="A48" s="194" t="s">
        <v>66</v>
      </c>
      <c r="B48" s="86"/>
      <c r="C48" s="86"/>
      <c r="D48" s="86"/>
      <c r="E48" s="86"/>
      <c r="F48" s="86"/>
      <c r="G48" s="86"/>
      <c r="H48" s="86"/>
      <c r="I48" s="86"/>
      <c r="J48" s="86"/>
      <c r="K48" s="174">
        <v>63.91</v>
      </c>
      <c r="L48" s="56"/>
      <c r="M48" s="174" t="s">
        <v>52</v>
      </c>
      <c r="N48" s="56"/>
      <c r="O48" s="86"/>
      <c r="P48" s="86"/>
      <c r="Q48" s="86"/>
      <c r="R48" s="86"/>
      <c r="S48" s="86"/>
      <c r="T48" s="86"/>
      <c r="U48" s="172" t="s">
        <v>67</v>
      </c>
      <c r="V48" s="56"/>
      <c r="W48" s="56"/>
      <c r="X48" s="86"/>
      <c r="Y48" s="86"/>
      <c r="Z48" s="86"/>
      <c r="AA48" s="86"/>
      <c r="AB48" s="86"/>
      <c r="AC48" s="59"/>
      <c r="AD48" s="59"/>
      <c r="AE48" s="166"/>
      <c r="AF48" s="166"/>
      <c r="AG48" s="175"/>
      <c r="AH48" s="175"/>
      <c r="AI48" s="176"/>
    </row>
    <row r="49" ht="15.0" customHeight="1">
      <c r="A49" s="195" t="s">
        <v>68</v>
      </c>
      <c r="B49" s="56"/>
      <c r="C49" s="56"/>
      <c r="D49" s="56"/>
      <c r="E49" s="56"/>
      <c r="F49" s="56"/>
      <c r="G49" s="56"/>
      <c r="H49" s="56"/>
      <c r="I49" s="196"/>
      <c r="J49" s="196"/>
      <c r="K49" s="196"/>
      <c r="L49" s="196"/>
      <c r="M49" s="196"/>
      <c r="N49" s="196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11"/>
      <c r="AD49" s="111"/>
      <c r="AE49" s="114"/>
      <c r="AF49" s="114"/>
      <c r="AG49" s="115"/>
      <c r="AH49" s="115"/>
      <c r="AI49" s="116"/>
    </row>
    <row r="50" ht="15.0" customHeight="1">
      <c r="A50" s="197"/>
      <c r="B50" s="196"/>
      <c r="C50" s="196"/>
      <c r="D50" s="198" t="s">
        <v>69</v>
      </c>
      <c r="E50" s="50"/>
      <c r="F50" s="50"/>
      <c r="G50" s="50"/>
      <c r="H50" s="50"/>
      <c r="I50" s="50"/>
      <c r="J50" s="50"/>
      <c r="K50" s="51"/>
      <c r="L50" s="199">
        <v>173.84</v>
      </c>
      <c r="M50" s="56"/>
      <c r="N50" s="196" t="s">
        <v>37</v>
      </c>
      <c r="O50" s="180"/>
      <c r="P50" s="180"/>
      <c r="Q50" s="180"/>
      <c r="R50" s="180"/>
      <c r="S50" s="180"/>
      <c r="T50" s="180"/>
      <c r="U50" s="181" t="s">
        <v>70</v>
      </c>
      <c r="V50" s="56"/>
      <c r="W50" s="56"/>
      <c r="X50" s="180"/>
      <c r="Y50" s="180"/>
      <c r="Z50" s="180"/>
      <c r="AA50" s="200"/>
      <c r="AB50" s="180"/>
      <c r="AC50" s="111"/>
      <c r="AD50" s="111"/>
      <c r="AE50" s="114"/>
      <c r="AF50" s="114"/>
      <c r="AG50" s="184">
        <f t="shared" ref="AG50:AG52" si="1">L50*AA50</f>
        <v>0</v>
      </c>
      <c r="AH50" s="50"/>
      <c r="AI50" s="53"/>
    </row>
    <row r="51" ht="15.0" customHeight="1">
      <c r="A51" s="197"/>
      <c r="B51" s="196"/>
      <c r="C51" s="196"/>
      <c r="D51" s="198" t="s">
        <v>71</v>
      </c>
      <c r="E51" s="50"/>
      <c r="F51" s="50"/>
      <c r="G51" s="50"/>
      <c r="H51" s="50"/>
      <c r="I51" s="50"/>
      <c r="J51" s="50"/>
      <c r="K51" s="51"/>
      <c r="L51" s="199">
        <v>245.42</v>
      </c>
      <c r="M51" s="56"/>
      <c r="N51" s="196" t="s">
        <v>37</v>
      </c>
      <c r="O51" s="180"/>
      <c r="P51" s="180"/>
      <c r="Q51" s="180"/>
      <c r="R51" s="180"/>
      <c r="S51" s="180"/>
      <c r="T51" s="180"/>
      <c r="U51" s="181" t="s">
        <v>72</v>
      </c>
      <c r="V51" s="56"/>
      <c r="W51" s="56"/>
      <c r="X51" s="180"/>
      <c r="Y51" s="180"/>
      <c r="Z51" s="180"/>
      <c r="AA51" s="201"/>
      <c r="AB51" s="180"/>
      <c r="AC51" s="111"/>
      <c r="AD51" s="111"/>
      <c r="AE51" s="114"/>
      <c r="AF51" s="114"/>
      <c r="AG51" s="184">
        <f t="shared" si="1"/>
        <v>0</v>
      </c>
      <c r="AH51" s="50"/>
      <c r="AI51" s="53"/>
    </row>
    <row r="52" ht="15.0" customHeight="1">
      <c r="A52" s="197"/>
      <c r="B52" s="196"/>
      <c r="C52" s="196"/>
      <c r="D52" s="198" t="s">
        <v>73</v>
      </c>
      <c r="E52" s="50"/>
      <c r="F52" s="50"/>
      <c r="G52" s="50"/>
      <c r="H52" s="50"/>
      <c r="I52" s="50"/>
      <c r="J52" s="50"/>
      <c r="K52" s="51"/>
      <c r="L52" s="199">
        <v>296.55</v>
      </c>
      <c r="M52" s="56"/>
      <c r="N52" s="196" t="s">
        <v>37</v>
      </c>
      <c r="O52" s="180"/>
      <c r="P52" s="180"/>
      <c r="Q52" s="180"/>
      <c r="R52" s="180"/>
      <c r="S52" s="180"/>
      <c r="T52" s="180"/>
      <c r="U52" s="181" t="s">
        <v>74</v>
      </c>
      <c r="V52" s="56"/>
      <c r="W52" s="56"/>
      <c r="X52" s="180"/>
      <c r="Y52" s="180"/>
      <c r="Z52" s="180"/>
      <c r="AA52" s="200"/>
      <c r="AB52" s="180"/>
      <c r="AC52" s="111"/>
      <c r="AD52" s="111"/>
      <c r="AE52" s="114"/>
      <c r="AF52" s="114"/>
      <c r="AG52" s="184">
        <f t="shared" si="1"/>
        <v>0</v>
      </c>
      <c r="AH52" s="50"/>
      <c r="AI52" s="53"/>
    </row>
    <row r="53" ht="15.0" customHeight="1">
      <c r="A53" s="202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59"/>
      <c r="AD53" s="59"/>
      <c r="AE53" s="166"/>
      <c r="AF53" s="166"/>
      <c r="AG53" s="166"/>
      <c r="AH53" s="166"/>
      <c r="AI53" s="204"/>
    </row>
    <row r="54" ht="16.5" customHeight="1">
      <c r="A54" s="205" t="s">
        <v>75</v>
      </c>
      <c r="B54" s="206"/>
      <c r="C54" s="206"/>
      <c r="D54" s="206"/>
      <c r="E54" s="86"/>
      <c r="F54" s="174">
        <v>84.36</v>
      </c>
      <c r="G54" s="56"/>
      <c r="H54" s="86" t="s">
        <v>76</v>
      </c>
      <c r="I54" s="172" t="s">
        <v>77</v>
      </c>
      <c r="J54" s="56"/>
      <c r="K54" s="56"/>
      <c r="L54" s="86"/>
      <c r="M54" s="86"/>
      <c r="N54" s="86"/>
      <c r="O54" s="86"/>
      <c r="P54" s="174"/>
      <c r="Q54" s="56"/>
      <c r="R54" s="56"/>
      <c r="S54" s="56"/>
      <c r="T54" s="56"/>
      <c r="U54" s="86"/>
      <c r="V54" s="86"/>
      <c r="W54" s="86"/>
      <c r="X54" s="86"/>
      <c r="Y54" s="86"/>
      <c r="Z54" s="86"/>
      <c r="AA54" s="201"/>
      <c r="AB54" s="86"/>
      <c r="AC54" s="59"/>
      <c r="AD54" s="59"/>
      <c r="AE54" s="166"/>
      <c r="AF54" s="166"/>
      <c r="AG54" s="207"/>
      <c r="AH54" s="56"/>
      <c r="AI54" s="57"/>
    </row>
    <row r="55" ht="16.5" customHeight="1">
      <c r="A55" s="171"/>
      <c r="B55" s="86"/>
      <c r="C55" s="208" t="s">
        <v>78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86"/>
      <c r="P55" s="209"/>
      <c r="Q55" s="209"/>
      <c r="R55" s="209"/>
      <c r="S55" s="209"/>
      <c r="T55" s="209"/>
      <c r="U55" s="86"/>
      <c r="V55" s="86"/>
      <c r="W55" s="86"/>
      <c r="X55" s="86"/>
      <c r="Y55" s="86"/>
      <c r="Z55" s="86"/>
      <c r="AA55" s="201"/>
      <c r="AB55" s="86"/>
      <c r="AC55" s="59"/>
      <c r="AD55" s="59"/>
      <c r="AE55" s="166"/>
      <c r="AF55" s="166"/>
      <c r="AG55" s="166"/>
      <c r="AH55" s="166"/>
      <c r="AI55" s="204"/>
    </row>
    <row r="56" ht="12.0" customHeight="1">
      <c r="A56" s="171"/>
      <c r="B56" s="86"/>
      <c r="C56" s="208" t="s">
        <v>79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86"/>
      <c r="P56" s="209"/>
      <c r="Q56" s="209"/>
      <c r="R56" s="209"/>
      <c r="S56" s="209"/>
      <c r="T56" s="209"/>
      <c r="U56" s="86"/>
      <c r="V56" s="86"/>
      <c r="W56" s="86"/>
      <c r="X56" s="86"/>
      <c r="Y56" s="86"/>
      <c r="Z56" s="86"/>
      <c r="AA56" s="86"/>
      <c r="AB56" s="86"/>
      <c r="AC56" s="59"/>
      <c r="AD56" s="59"/>
      <c r="AE56" s="166"/>
      <c r="AF56" s="166"/>
      <c r="AG56" s="166"/>
      <c r="AH56" s="166"/>
      <c r="AI56" s="204"/>
    </row>
    <row r="57" ht="15.0" customHeight="1">
      <c r="A57" s="171"/>
      <c r="B57" s="86"/>
      <c r="C57" s="208" t="s">
        <v>80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86"/>
      <c r="P57" s="209"/>
      <c r="Q57" s="209"/>
      <c r="R57" s="209"/>
      <c r="S57" s="209"/>
      <c r="T57" s="209"/>
      <c r="U57" s="174"/>
      <c r="V57" s="56"/>
      <c r="W57" s="56"/>
      <c r="X57" s="56"/>
      <c r="Y57" s="56"/>
      <c r="Z57" s="56"/>
      <c r="AA57" s="56"/>
      <c r="AB57" s="56"/>
      <c r="AC57" s="59"/>
      <c r="AD57" s="59"/>
      <c r="AE57" s="166"/>
      <c r="AF57" s="166"/>
      <c r="AG57" s="207"/>
      <c r="AH57" s="56"/>
      <c r="AI57" s="57"/>
    </row>
    <row r="58" ht="15.0" customHeight="1">
      <c r="A58" s="171"/>
      <c r="B58" s="86"/>
      <c r="C58" s="210" t="s">
        <v>81</v>
      </c>
      <c r="D58" s="56"/>
      <c r="E58" s="56"/>
      <c r="F58" s="56"/>
      <c r="G58" s="56"/>
      <c r="H58" s="56"/>
      <c r="I58" s="56"/>
      <c r="J58" s="56"/>
      <c r="K58" s="210">
        <v>20.45</v>
      </c>
      <c r="L58" s="56"/>
      <c r="M58" s="208" t="s">
        <v>52</v>
      </c>
      <c r="N58" s="56"/>
      <c r="O58" s="211" t="s">
        <v>82</v>
      </c>
      <c r="P58" s="56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59"/>
      <c r="AD58" s="59"/>
      <c r="AE58" s="166"/>
      <c r="AF58" s="166"/>
      <c r="AG58" s="170">
        <f>AA54*F54+(AA55*K58)</f>
        <v>0</v>
      </c>
      <c r="AH58" s="50"/>
      <c r="AI58" s="53"/>
    </row>
    <row r="59" ht="19.5" customHeight="1">
      <c r="A59" s="195" t="s">
        <v>83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180"/>
      <c r="P59" s="212"/>
      <c r="Q59" s="212"/>
      <c r="R59" s="212"/>
      <c r="S59" s="212"/>
      <c r="T59" s="212"/>
      <c r="U59" s="180"/>
      <c r="V59" s="180"/>
      <c r="W59" s="180"/>
      <c r="X59" s="180"/>
      <c r="Y59" s="180"/>
      <c r="Z59" s="180"/>
      <c r="AA59" s="201"/>
      <c r="AB59" s="180"/>
      <c r="AC59" s="111"/>
      <c r="AD59" s="111"/>
      <c r="AE59" s="114"/>
      <c r="AF59" s="114"/>
      <c r="AG59" s="213"/>
      <c r="AH59" s="56"/>
      <c r="AI59" s="57"/>
    </row>
    <row r="60" ht="19.5" customHeight="1">
      <c r="A60" s="214" t="s">
        <v>84</v>
      </c>
      <c r="B60" s="56"/>
      <c r="C60" s="56"/>
      <c r="D60" s="56"/>
      <c r="E60" s="56"/>
      <c r="F60" s="56"/>
      <c r="G60" s="215" t="s">
        <v>85</v>
      </c>
      <c r="H60" s="56"/>
      <c r="I60" s="56"/>
      <c r="J60" s="56"/>
      <c r="K60" s="216">
        <v>20.45</v>
      </c>
      <c r="L60" s="56"/>
      <c r="M60" s="215" t="s">
        <v>86</v>
      </c>
      <c r="N60" s="56"/>
      <c r="O60" s="56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111"/>
      <c r="AD60" s="111"/>
      <c r="AE60" s="114"/>
      <c r="AF60" s="114"/>
      <c r="AG60" s="114"/>
      <c r="AH60" s="114"/>
      <c r="AI60" s="217"/>
    </row>
    <row r="61" ht="19.5" customHeight="1">
      <c r="A61" s="218"/>
      <c r="B61" s="180"/>
      <c r="C61" s="219"/>
      <c r="D61" s="219"/>
      <c r="E61" s="219"/>
      <c r="F61" s="219"/>
      <c r="G61" s="219"/>
      <c r="H61" s="219"/>
      <c r="I61" s="219"/>
      <c r="J61" s="219"/>
      <c r="K61" s="220" t="s">
        <v>87</v>
      </c>
      <c r="L61" s="56"/>
      <c r="M61" s="56"/>
      <c r="N61" s="56"/>
      <c r="O61" s="56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111"/>
      <c r="AD61" s="111"/>
      <c r="AE61" s="114"/>
      <c r="AF61" s="114"/>
      <c r="AG61" s="184">
        <f>AA59*K60</f>
        <v>0</v>
      </c>
      <c r="AH61" s="50"/>
      <c r="AI61" s="53"/>
    </row>
    <row r="62" ht="19.5" customHeight="1">
      <c r="A62" s="221" t="s">
        <v>88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222"/>
      <c r="Q62" s="209"/>
      <c r="R62" s="209"/>
      <c r="S62" s="209"/>
      <c r="T62" s="209"/>
      <c r="U62" s="86"/>
      <c r="V62" s="86"/>
      <c r="W62" s="86"/>
      <c r="X62" s="86"/>
      <c r="Y62" s="86"/>
      <c r="Z62" s="86"/>
      <c r="AA62" s="201"/>
      <c r="AB62" s="86"/>
      <c r="AC62" s="59"/>
      <c r="AD62" s="59"/>
      <c r="AE62" s="166"/>
      <c r="AF62" s="166"/>
      <c r="AG62" s="175"/>
      <c r="AH62" s="175"/>
      <c r="AI62" s="176"/>
    </row>
    <row r="63" ht="19.5" customHeight="1">
      <c r="A63" s="194" t="s">
        <v>89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172"/>
      <c r="N63" s="56"/>
      <c r="O63" s="56"/>
      <c r="P63" s="209"/>
      <c r="Q63" s="209"/>
      <c r="R63" s="209"/>
      <c r="S63" s="209"/>
      <c r="T63" s="209"/>
      <c r="U63" s="86"/>
      <c r="V63" s="86"/>
      <c r="W63" s="86"/>
      <c r="X63" s="86"/>
      <c r="Y63" s="86"/>
      <c r="Z63" s="86"/>
      <c r="AA63" s="86"/>
      <c r="AB63" s="86"/>
      <c r="AC63" s="59"/>
      <c r="AD63" s="59"/>
      <c r="AE63" s="166"/>
      <c r="AF63" s="166"/>
      <c r="AG63" s="175"/>
      <c r="AH63" s="175"/>
      <c r="AI63" s="176"/>
    </row>
    <row r="64" ht="19.5" customHeight="1">
      <c r="A64" s="191" t="s">
        <v>90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173">
        <v>12.78</v>
      </c>
      <c r="M64" s="56"/>
      <c r="N64" s="223" t="s">
        <v>86</v>
      </c>
      <c r="O64" s="56"/>
      <c r="P64" s="56"/>
      <c r="Q64" s="209"/>
      <c r="R64" s="209"/>
      <c r="S64" s="209"/>
      <c r="T64" s="209"/>
      <c r="U64" s="223" t="s">
        <v>91</v>
      </c>
      <c r="V64" s="56"/>
      <c r="W64" s="56"/>
      <c r="X64" s="56"/>
      <c r="Y64" s="56"/>
      <c r="Z64" s="56"/>
      <c r="AA64" s="56"/>
      <c r="AB64" s="56"/>
      <c r="AC64" s="59"/>
      <c r="AD64" s="59"/>
      <c r="AE64" s="166"/>
      <c r="AF64" s="166"/>
      <c r="AG64" s="71">
        <f>AA62*L64</f>
        <v>0</v>
      </c>
      <c r="AH64" s="50"/>
      <c r="AI64" s="53"/>
    </row>
    <row r="65" ht="19.5" customHeight="1">
      <c r="A65" s="224" t="s">
        <v>92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225"/>
      <c r="Q65" s="212"/>
      <c r="R65" s="212"/>
      <c r="S65" s="212"/>
      <c r="T65" s="212"/>
      <c r="U65" s="180"/>
      <c r="V65" s="180"/>
      <c r="W65" s="180"/>
      <c r="X65" s="180"/>
      <c r="Y65" s="180"/>
      <c r="Z65" s="180"/>
      <c r="AA65" s="200"/>
      <c r="AB65" s="180"/>
      <c r="AC65" s="111"/>
      <c r="AD65" s="111"/>
      <c r="AE65" s="114"/>
      <c r="AF65" s="114"/>
      <c r="AG65" s="115"/>
      <c r="AH65" s="115"/>
      <c r="AI65" s="116"/>
    </row>
    <row r="66" ht="19.5" customHeight="1">
      <c r="A66" s="226" t="s">
        <v>93</v>
      </c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212"/>
      <c r="Q66" s="212"/>
      <c r="R66" s="212"/>
      <c r="S66" s="212"/>
      <c r="T66" s="212"/>
      <c r="U66" s="180"/>
      <c r="V66" s="180"/>
      <c r="W66" s="180"/>
      <c r="X66" s="180"/>
      <c r="Y66" s="180"/>
      <c r="Z66" s="180"/>
      <c r="AA66" s="180"/>
      <c r="AB66" s="180"/>
      <c r="AC66" s="111"/>
      <c r="AD66" s="111"/>
      <c r="AE66" s="114"/>
      <c r="AF66" s="114"/>
      <c r="AG66" s="115"/>
      <c r="AH66" s="115"/>
      <c r="AI66" s="116"/>
    </row>
    <row r="67" ht="19.5" customHeight="1">
      <c r="A67" s="227" t="s">
        <v>94</v>
      </c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228">
        <v>5.11</v>
      </c>
      <c r="M67" s="56"/>
      <c r="N67" s="220" t="s">
        <v>86</v>
      </c>
      <c r="O67" s="56"/>
      <c r="P67" s="56"/>
      <c r="Q67" s="212"/>
      <c r="R67" s="212"/>
      <c r="S67" s="212"/>
      <c r="T67" s="212"/>
      <c r="U67" s="220" t="s">
        <v>95</v>
      </c>
      <c r="V67" s="56"/>
      <c r="W67" s="56"/>
      <c r="X67" s="56"/>
      <c r="Y67" s="56"/>
      <c r="Z67" s="56"/>
      <c r="AA67" s="56"/>
      <c r="AB67" s="56"/>
      <c r="AC67" s="111"/>
      <c r="AD67" s="111"/>
      <c r="AE67" s="114"/>
      <c r="AF67" s="114"/>
      <c r="AG67" s="124">
        <f>AA65*L67</f>
        <v>0</v>
      </c>
      <c r="AH67" s="50"/>
      <c r="AI67" s="53"/>
    </row>
    <row r="68" ht="19.5" customHeight="1">
      <c r="A68" s="221" t="s">
        <v>96</v>
      </c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209"/>
      <c r="R68" s="209"/>
      <c r="S68" s="209"/>
      <c r="T68" s="209"/>
      <c r="U68" s="86"/>
      <c r="V68" s="86"/>
      <c r="W68" s="86"/>
      <c r="X68" s="86"/>
      <c r="Y68" s="86"/>
      <c r="Z68" s="86"/>
      <c r="AA68" s="201"/>
      <c r="AB68" s="86"/>
      <c r="AC68" s="59"/>
      <c r="AD68" s="59"/>
      <c r="AE68" s="166"/>
      <c r="AF68" s="166"/>
      <c r="AG68" s="175"/>
      <c r="AH68" s="175"/>
      <c r="AI68" s="176"/>
    </row>
    <row r="69" ht="19.5" customHeight="1">
      <c r="A69" s="191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209"/>
      <c r="R69" s="209"/>
      <c r="S69" s="209"/>
      <c r="T69" s="209"/>
      <c r="U69" s="86"/>
      <c r="V69" s="86"/>
      <c r="W69" s="86"/>
      <c r="X69" s="86"/>
      <c r="Y69" s="86"/>
      <c r="Z69" s="86"/>
      <c r="AA69" s="86"/>
      <c r="AB69" s="86"/>
      <c r="AC69" s="59"/>
      <c r="AD69" s="59"/>
      <c r="AE69" s="166"/>
      <c r="AF69" s="166"/>
      <c r="AG69" s="175"/>
      <c r="AH69" s="175"/>
      <c r="AI69" s="176"/>
    </row>
    <row r="70" ht="19.5" customHeight="1">
      <c r="A70" s="229" t="s">
        <v>85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173">
        <v>23.01</v>
      </c>
      <c r="M70" s="56"/>
      <c r="N70" s="223" t="s">
        <v>86</v>
      </c>
      <c r="O70" s="56"/>
      <c r="P70" s="56"/>
      <c r="Q70" s="209"/>
      <c r="R70" s="209"/>
      <c r="S70" s="209"/>
      <c r="T70" s="209"/>
      <c r="U70" s="223" t="s">
        <v>97</v>
      </c>
      <c r="V70" s="56"/>
      <c r="W70" s="56"/>
      <c r="X70" s="56"/>
      <c r="Y70" s="56"/>
      <c r="Z70" s="56"/>
      <c r="AA70" s="56"/>
      <c r="AB70" s="56"/>
      <c r="AC70" s="59"/>
      <c r="AD70" s="59"/>
      <c r="AE70" s="166"/>
      <c r="AF70" s="166"/>
      <c r="AG70" s="71">
        <f>AA68*L70</f>
        <v>0</v>
      </c>
      <c r="AH70" s="50"/>
      <c r="AI70" s="53"/>
    </row>
    <row r="71" ht="19.5" customHeight="1">
      <c r="A71" s="224" t="s">
        <v>98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212"/>
      <c r="R71" s="212"/>
      <c r="S71" s="212"/>
      <c r="T71" s="212"/>
      <c r="U71" s="230"/>
      <c r="V71" s="230"/>
      <c r="W71" s="230"/>
      <c r="X71" s="230"/>
      <c r="Y71" s="230"/>
      <c r="Z71" s="230"/>
      <c r="AA71" s="231"/>
      <c r="AB71" s="230"/>
      <c r="AC71" s="111"/>
      <c r="AD71" s="111"/>
      <c r="AE71" s="114"/>
      <c r="AF71" s="114"/>
      <c r="AG71" s="115"/>
      <c r="AH71" s="115"/>
      <c r="AI71" s="116"/>
    </row>
    <row r="72" ht="19.5" customHeight="1">
      <c r="A72" s="232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212"/>
      <c r="R72" s="212"/>
      <c r="S72" s="212"/>
      <c r="T72" s="212"/>
      <c r="U72" s="230"/>
      <c r="V72" s="230"/>
      <c r="W72" s="230"/>
      <c r="X72" s="230"/>
      <c r="Y72" s="230"/>
      <c r="Z72" s="230"/>
      <c r="AA72" s="230"/>
      <c r="AB72" s="230"/>
      <c r="AC72" s="111"/>
      <c r="AD72" s="111"/>
      <c r="AE72" s="114"/>
      <c r="AF72" s="114"/>
      <c r="AG72" s="115"/>
      <c r="AH72" s="115"/>
      <c r="AI72" s="116"/>
    </row>
    <row r="73" ht="19.5" customHeight="1">
      <c r="A73" s="233" t="s">
        <v>85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228">
        <v>24.54</v>
      </c>
      <c r="M73" s="56"/>
      <c r="N73" s="220" t="s">
        <v>86</v>
      </c>
      <c r="O73" s="56"/>
      <c r="P73" s="56"/>
      <c r="Q73" s="212"/>
      <c r="R73" s="212"/>
      <c r="S73" s="212"/>
      <c r="T73" s="212"/>
      <c r="U73" s="220" t="s">
        <v>38</v>
      </c>
      <c r="V73" s="56"/>
      <c r="W73" s="56"/>
      <c r="X73" s="230"/>
      <c r="Y73" s="230"/>
      <c r="Z73" s="230"/>
      <c r="AA73" s="230"/>
      <c r="AB73" s="230"/>
      <c r="AC73" s="111"/>
      <c r="AD73" s="111"/>
      <c r="AE73" s="114"/>
      <c r="AF73" s="114"/>
      <c r="AG73" s="184">
        <f>AA71*L73</f>
        <v>0</v>
      </c>
      <c r="AH73" s="50"/>
      <c r="AI73" s="53"/>
    </row>
    <row r="74" ht="19.5" customHeight="1">
      <c r="A74" s="221" t="s">
        <v>99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209"/>
      <c r="R74" s="209"/>
      <c r="S74" s="209"/>
      <c r="T74" s="209"/>
      <c r="U74" s="234"/>
      <c r="V74" s="234"/>
      <c r="W74" s="234"/>
      <c r="X74" s="234"/>
      <c r="Y74" s="234"/>
      <c r="Z74" s="234"/>
      <c r="AA74" s="235"/>
      <c r="AB74" s="234"/>
      <c r="AC74" s="59"/>
      <c r="AD74" s="59"/>
      <c r="AE74" s="166"/>
      <c r="AF74" s="166"/>
      <c r="AG74" s="166"/>
      <c r="AH74" s="166"/>
      <c r="AI74" s="204"/>
    </row>
    <row r="75" ht="19.5" customHeight="1">
      <c r="A75" s="191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209"/>
      <c r="R75" s="209"/>
      <c r="S75" s="209"/>
      <c r="T75" s="209"/>
      <c r="U75" s="234"/>
      <c r="V75" s="234"/>
      <c r="W75" s="234"/>
      <c r="X75" s="234"/>
      <c r="Y75" s="234"/>
      <c r="Z75" s="234"/>
      <c r="AA75" s="234"/>
      <c r="AB75" s="234"/>
      <c r="AC75" s="59"/>
      <c r="AD75" s="59"/>
      <c r="AE75" s="166"/>
      <c r="AF75" s="166"/>
      <c r="AG75" s="166"/>
      <c r="AH75" s="166"/>
      <c r="AI75" s="204"/>
    </row>
    <row r="76" ht="19.5" customHeight="1">
      <c r="A76" s="229" t="s">
        <v>85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173">
        <v>7.15</v>
      </c>
      <c r="M76" s="56"/>
      <c r="N76" s="223" t="s">
        <v>100</v>
      </c>
      <c r="O76" s="56"/>
      <c r="P76" s="56"/>
      <c r="Q76" s="209"/>
      <c r="R76" s="209"/>
      <c r="S76" s="209"/>
      <c r="T76" s="209"/>
      <c r="U76" s="172" t="s">
        <v>101</v>
      </c>
      <c r="V76" s="56"/>
      <c r="W76" s="56"/>
      <c r="X76" s="86"/>
      <c r="Y76" s="86"/>
      <c r="Z76" s="86"/>
      <c r="AA76" s="86"/>
      <c r="AB76" s="86"/>
      <c r="AC76" s="59"/>
      <c r="AD76" s="59"/>
      <c r="AE76" s="166"/>
      <c r="AF76" s="166"/>
      <c r="AG76" s="170">
        <f>AA74*L76</f>
        <v>0</v>
      </c>
      <c r="AH76" s="50"/>
      <c r="AI76" s="53"/>
    </row>
    <row r="77" ht="19.5" customHeight="1">
      <c r="A77" s="224" t="s">
        <v>102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225"/>
      <c r="Q77" s="212"/>
      <c r="R77" s="212"/>
      <c r="S77" s="212"/>
      <c r="T77" s="212"/>
      <c r="U77" s="180"/>
      <c r="V77" s="180"/>
      <c r="W77" s="180"/>
      <c r="X77" s="180"/>
      <c r="Y77" s="180"/>
      <c r="Z77" s="180"/>
      <c r="AA77" s="201"/>
      <c r="AB77" s="180"/>
      <c r="AC77" s="111"/>
      <c r="AD77" s="111"/>
      <c r="AE77" s="114"/>
      <c r="AF77" s="114"/>
      <c r="AG77" s="114"/>
      <c r="AH77" s="114"/>
      <c r="AI77" s="217"/>
    </row>
    <row r="78" ht="19.5" customHeight="1">
      <c r="A78" s="226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212"/>
      <c r="Q78" s="225"/>
      <c r="R78" s="212"/>
      <c r="S78" s="212"/>
      <c r="T78" s="212"/>
      <c r="U78" s="220"/>
      <c r="V78" s="56"/>
      <c r="W78" s="56"/>
      <c r="X78" s="56"/>
      <c r="Y78" s="56"/>
      <c r="Z78" s="56"/>
      <c r="AA78" s="56"/>
      <c r="AB78" s="56"/>
      <c r="AC78" s="111"/>
      <c r="AD78" s="111"/>
      <c r="AE78" s="114"/>
      <c r="AF78" s="114"/>
      <c r="AG78" s="213"/>
      <c r="AH78" s="56"/>
      <c r="AI78" s="57"/>
    </row>
    <row r="79" ht="19.5" customHeight="1">
      <c r="A79" s="227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228">
        <v>5.11</v>
      </c>
      <c r="M79" s="56"/>
      <c r="N79" s="220" t="s">
        <v>103</v>
      </c>
      <c r="O79" s="56"/>
      <c r="P79" s="56"/>
      <c r="Q79" s="212"/>
      <c r="R79" s="212"/>
      <c r="S79" s="212"/>
      <c r="T79" s="212"/>
      <c r="U79" s="179" t="s">
        <v>95</v>
      </c>
      <c r="V79" s="56"/>
      <c r="W79" s="56"/>
      <c r="X79" s="56"/>
      <c r="Y79" s="212"/>
      <c r="Z79" s="212"/>
      <c r="AA79" s="212"/>
      <c r="AB79" s="212"/>
      <c r="AC79" s="111"/>
      <c r="AD79" s="111"/>
      <c r="AE79" s="114"/>
      <c r="AF79" s="114"/>
      <c r="AG79" s="236">
        <f>AA77*L79</f>
        <v>0</v>
      </c>
      <c r="AH79" s="67"/>
      <c r="AI79" s="237"/>
    </row>
    <row r="80" ht="19.5" customHeight="1">
      <c r="A80" s="221" t="s">
        <v>104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234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38">
        <v>0.0</v>
      </c>
      <c r="AB80" s="239"/>
      <c r="AC80" s="240"/>
      <c r="AD80" s="59"/>
      <c r="AE80" s="166"/>
      <c r="AF80" s="166"/>
      <c r="AG80" s="170">
        <f>AA80</f>
        <v>0</v>
      </c>
      <c r="AH80" s="50"/>
      <c r="AI80" s="53"/>
    </row>
    <row r="81" ht="30.0" customHeight="1">
      <c r="A81" s="241" t="s">
        <v>105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234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59"/>
      <c r="AD81" s="59"/>
      <c r="AE81" s="166"/>
      <c r="AF81" s="166"/>
      <c r="AG81" s="166"/>
      <c r="AH81" s="166"/>
      <c r="AI81" s="204"/>
    </row>
    <row r="82" ht="18.75" customHeight="1">
      <c r="A82" s="242" t="s">
        <v>106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230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38">
        <v>0.0</v>
      </c>
      <c r="AB82" s="239"/>
      <c r="AC82" s="240"/>
      <c r="AD82" s="111"/>
      <c r="AE82" s="243"/>
      <c r="AF82" s="243"/>
      <c r="AG82" s="184">
        <f>AA82</f>
        <v>0</v>
      </c>
      <c r="AH82" s="50"/>
      <c r="AI82" s="53"/>
      <c r="AJ82" s="167"/>
      <c r="AK82" s="167"/>
      <c r="AL82" s="167"/>
    </row>
    <row r="83" ht="28.5" customHeight="1">
      <c r="A83" s="244" t="s">
        <v>107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59"/>
      <c r="AD83" s="59"/>
      <c r="AE83" s="166"/>
      <c r="AF83" s="166"/>
      <c r="AG83" s="166"/>
      <c r="AH83" s="166"/>
      <c r="AI83" s="204"/>
    </row>
    <row r="84" ht="30.0" customHeight="1">
      <c r="A84" s="241" t="s">
        <v>108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59"/>
      <c r="AD84" s="59"/>
      <c r="AE84" s="166"/>
      <c r="AF84" s="166"/>
      <c r="AG84" s="166"/>
      <c r="AH84" s="166"/>
      <c r="AI84" s="204"/>
    </row>
    <row r="85" ht="18.0" customHeight="1">
      <c r="A85" s="245" t="s">
        <v>109</v>
      </c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7">
        <v>70.55</v>
      </c>
      <c r="M85" s="16"/>
      <c r="N85" s="247" t="s">
        <v>37</v>
      </c>
      <c r="O85" s="16"/>
      <c r="P85" s="246"/>
      <c r="Q85" s="248" t="s">
        <v>110</v>
      </c>
      <c r="R85" s="16"/>
      <c r="S85" s="16"/>
      <c r="T85" s="16"/>
      <c r="U85" s="249"/>
      <c r="V85" s="249"/>
      <c r="W85" s="249"/>
      <c r="X85" s="249"/>
      <c r="Y85" s="249"/>
      <c r="Z85" s="249"/>
      <c r="AA85" s="250">
        <v>1.0</v>
      </c>
      <c r="AB85" s="249"/>
      <c r="AC85" s="251"/>
      <c r="AD85" s="251"/>
      <c r="AE85" s="252"/>
      <c r="AF85" s="252"/>
      <c r="AG85" s="253">
        <f>AA85*L85</f>
        <v>70.55</v>
      </c>
      <c r="AH85" s="16"/>
      <c r="AI85" s="254"/>
    </row>
    <row r="86" ht="15.0" customHeight="1">
      <c r="A86" s="255"/>
      <c r="B86" s="59"/>
      <c r="C86" s="256"/>
      <c r="D86" s="59"/>
      <c r="E86" s="59"/>
      <c r="F86" s="59"/>
      <c r="G86" s="59"/>
      <c r="H86" s="59"/>
      <c r="I86" s="256"/>
      <c r="J86" s="256"/>
      <c r="K86" s="55"/>
      <c r="L86" s="56"/>
      <c r="M86" s="56"/>
      <c r="N86" s="56"/>
      <c r="O86" s="59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59"/>
      <c r="AD86" s="59"/>
      <c r="AE86" s="166"/>
      <c r="AF86" s="166"/>
      <c r="AG86" s="258">
        <f>AG79+AG76+AG73+AG70+AG67+AG64+AG61++AG58+AG52+AG51++AG50+AG47+AG46+AG43+AG40+AG37+AG34+AG32+AG29+AG26+AG23+AG17+AG16+AG15+AG87+AG38+AG85+AG44+AG41+AG80+AG82</f>
        <v>1506.22</v>
      </c>
      <c r="AH86" s="16"/>
      <c r="AI86" s="254"/>
    </row>
    <row r="87" ht="12.75" customHeight="1">
      <c r="A87" s="259">
        <v>580.0</v>
      </c>
      <c r="B87" s="260"/>
      <c r="C87" s="255"/>
      <c r="D87" s="255"/>
      <c r="E87" s="255"/>
      <c r="F87" s="255"/>
      <c r="G87" s="255"/>
      <c r="H87" s="255"/>
      <c r="I87" s="255"/>
      <c r="J87" s="256"/>
      <c r="K87" s="256"/>
      <c r="L87" s="256"/>
      <c r="M87" s="256"/>
      <c r="N87" s="256"/>
      <c r="O87" s="59"/>
      <c r="P87" s="257"/>
      <c r="Q87" s="257"/>
      <c r="R87" s="257"/>
      <c r="S87" s="257"/>
      <c r="T87" s="257"/>
      <c r="U87" s="55" t="s">
        <v>111</v>
      </c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261">
        <f>(Q15+(AA16*F16)+AA17*L17)-(AG15+AG16+AG17)</f>
        <v>0</v>
      </c>
      <c r="AH87" s="19"/>
      <c r="AI87" s="262"/>
    </row>
    <row r="88" ht="9.75" customHeight="1">
      <c r="A88" s="259">
        <v>760.0</v>
      </c>
      <c r="B88" s="260"/>
      <c r="C88" s="255"/>
      <c r="D88" s="255"/>
      <c r="E88" s="255"/>
      <c r="F88" s="255"/>
      <c r="G88" s="255"/>
      <c r="H88" s="255"/>
      <c r="I88" s="255"/>
      <c r="J88" s="256"/>
      <c r="K88" s="256"/>
      <c r="L88" s="256"/>
      <c r="M88" s="256"/>
      <c r="N88" s="256"/>
      <c r="O88" s="59"/>
      <c r="P88" s="257"/>
      <c r="Q88" s="257"/>
      <c r="R88" s="257"/>
      <c r="S88" s="257"/>
      <c r="T88" s="257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166"/>
      <c r="AF88" s="166"/>
      <c r="AG88" s="175"/>
      <c r="AH88" s="175"/>
      <c r="AI88" s="176"/>
    </row>
    <row r="89" ht="9.75" customHeight="1">
      <c r="A89" s="259">
        <v>880.0</v>
      </c>
      <c r="B89" s="260"/>
      <c r="C89" s="255"/>
      <c r="D89" s="255"/>
      <c r="E89" s="255"/>
      <c r="F89" s="255"/>
      <c r="G89" s="255"/>
      <c r="H89" s="255"/>
      <c r="I89" s="255"/>
      <c r="J89" s="263"/>
      <c r="K89" s="263"/>
      <c r="L89" s="263"/>
      <c r="M89" s="263"/>
      <c r="N89" s="263"/>
      <c r="O89" s="59"/>
      <c r="P89" s="257"/>
      <c r="Q89" s="257"/>
      <c r="R89" s="257"/>
      <c r="S89" s="257"/>
      <c r="T89" s="257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166"/>
      <c r="AF89" s="166"/>
      <c r="AG89" s="175"/>
      <c r="AH89" s="175"/>
      <c r="AI89" s="176"/>
    </row>
    <row r="90" ht="17.25" customHeight="1">
      <c r="A90" s="264"/>
      <c r="B90" s="265"/>
      <c r="C90" s="266"/>
      <c r="D90" s="266"/>
      <c r="E90" s="266"/>
      <c r="F90" s="59"/>
      <c r="O90" s="267"/>
      <c r="P90" s="267"/>
      <c r="Q90" s="267"/>
      <c r="R90" s="267"/>
      <c r="S90" s="267"/>
      <c r="T90" s="267"/>
      <c r="U90" s="268"/>
      <c r="V90" s="268"/>
      <c r="W90" s="268"/>
      <c r="X90" s="268"/>
      <c r="Y90" s="268"/>
      <c r="Z90" s="268"/>
      <c r="AA90" s="268"/>
      <c r="AB90" s="268"/>
      <c r="AC90" s="268"/>
      <c r="AD90" s="269"/>
      <c r="AE90" s="269" t="s">
        <v>112</v>
      </c>
      <c r="AF90" s="270">
        <f>AG86-AG87</f>
        <v>1506.22</v>
      </c>
      <c r="AG90" s="50"/>
      <c r="AH90" s="50"/>
      <c r="AI90" s="271" t="s">
        <v>37</v>
      </c>
    </row>
    <row r="91" ht="12.0" hidden="1" customHeight="1">
      <c r="A91" s="272"/>
      <c r="B91" s="273"/>
      <c r="V91" s="59"/>
      <c r="W91" s="59"/>
      <c r="X91" s="59"/>
      <c r="Y91" s="59"/>
      <c r="AF91" s="274"/>
      <c r="AI91" s="275"/>
    </row>
    <row r="92" ht="13.5" customHeight="1">
      <c r="A92" s="264"/>
      <c r="B92" s="265"/>
      <c r="C92" s="266"/>
      <c r="D92" s="266"/>
      <c r="E92" s="59"/>
      <c r="Q92" s="59"/>
      <c r="R92" s="276"/>
      <c r="S92" s="276"/>
      <c r="T92" s="276"/>
      <c r="U92" s="276"/>
      <c r="V92" s="276"/>
      <c r="W92" s="276"/>
      <c r="X92" s="276"/>
      <c r="Y92" s="276"/>
      <c r="Z92" s="59"/>
      <c r="AA92" s="59"/>
      <c r="AB92" s="59"/>
      <c r="AC92" s="59"/>
      <c r="AD92" s="59"/>
      <c r="AE92" s="59"/>
      <c r="AF92" s="277"/>
      <c r="AG92" s="56"/>
      <c r="AH92" s="56"/>
      <c r="AI92" s="57"/>
    </row>
    <row r="93" ht="15.75" customHeight="1">
      <c r="A93" s="272"/>
      <c r="B93" s="273"/>
      <c r="P93" s="278"/>
      <c r="U93" s="279" t="s">
        <v>113</v>
      </c>
      <c r="V93" s="50"/>
      <c r="W93" s="50"/>
      <c r="X93" s="50"/>
      <c r="Y93" s="50"/>
      <c r="Z93" s="50"/>
      <c r="AA93" s="50"/>
      <c r="AB93" s="50"/>
      <c r="AC93" s="50"/>
      <c r="AD93" s="50"/>
      <c r="AE93" s="51"/>
      <c r="AF93" s="280">
        <f>AF90/(40+AA16)</f>
        <v>37.6555</v>
      </c>
      <c r="AG93" s="239"/>
      <c r="AH93" s="281" t="s">
        <v>37</v>
      </c>
      <c r="AI93" s="240"/>
    </row>
    <row r="94" ht="15.75" customHeight="1">
      <c r="A94" s="282" t="s">
        <v>114</v>
      </c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1"/>
      <c r="P94" s="283">
        <f>AF90*0.5</f>
        <v>753.11</v>
      </c>
      <c r="Q94" s="50"/>
      <c r="R94" s="50"/>
      <c r="S94" s="284" t="s">
        <v>115</v>
      </c>
      <c r="T94" s="51"/>
      <c r="AI94" s="285"/>
    </row>
    <row r="95" ht="15.75" customHeight="1">
      <c r="A95" s="282" t="s">
        <v>116</v>
      </c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1"/>
      <c r="P95" s="286">
        <f>AF90-P94</f>
        <v>753.11</v>
      </c>
      <c r="Q95" s="11"/>
      <c r="R95" s="11"/>
      <c r="S95" s="287" t="s">
        <v>37</v>
      </c>
      <c r="T95" s="12"/>
      <c r="AI95" s="285"/>
    </row>
    <row r="96" ht="15.75" customHeight="1">
      <c r="A96" s="288"/>
      <c r="B96" s="289"/>
      <c r="C96" s="289"/>
      <c r="D96" s="289"/>
      <c r="E96" s="289"/>
      <c r="F96" s="289"/>
      <c r="G96" s="289"/>
      <c r="H96" s="289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AI96" s="285"/>
    </row>
    <row r="97" ht="15.75" customHeight="1">
      <c r="A97" s="291" t="s">
        <v>117</v>
      </c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40"/>
    </row>
    <row r="98" ht="16.5" customHeight="1">
      <c r="A98" s="292" t="s">
        <v>118</v>
      </c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1"/>
    </row>
    <row r="99" ht="15.75" customHeight="1">
      <c r="A99" s="293"/>
      <c r="B99" s="294" t="s">
        <v>119</v>
      </c>
      <c r="C99" s="50"/>
      <c r="D99" s="50"/>
      <c r="E99" s="50"/>
      <c r="F99" s="50"/>
      <c r="G99" s="50"/>
      <c r="H99" s="50"/>
      <c r="I99" s="50"/>
      <c r="J99" s="51"/>
      <c r="K99" s="295" t="s">
        <v>120</v>
      </c>
      <c r="L99" s="50"/>
      <c r="M99" s="50"/>
      <c r="N99" s="50"/>
      <c r="O99" s="50"/>
      <c r="P99" s="50"/>
      <c r="Q99" s="50"/>
      <c r="R99" s="51"/>
    </row>
    <row r="100" ht="15.75" customHeight="1">
      <c r="A100" s="293"/>
      <c r="B100" s="294" t="s">
        <v>121</v>
      </c>
      <c r="C100" s="50"/>
      <c r="D100" s="50"/>
      <c r="E100" s="50"/>
      <c r="F100" s="50"/>
      <c r="G100" s="50"/>
      <c r="H100" s="50"/>
      <c r="I100" s="50"/>
      <c r="J100" s="51"/>
      <c r="K100" s="295" t="s">
        <v>122</v>
      </c>
      <c r="L100" s="50"/>
      <c r="M100" s="50"/>
      <c r="N100" s="50"/>
      <c r="O100" s="50"/>
      <c r="P100" s="50"/>
      <c r="Q100" s="50"/>
      <c r="R100" s="5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1">
    <mergeCell ref="A45:H45"/>
    <mergeCell ref="I45:J45"/>
    <mergeCell ref="K45:L45"/>
    <mergeCell ref="M45:O45"/>
    <mergeCell ref="C46:E46"/>
    <mergeCell ref="AG46:AI46"/>
    <mergeCell ref="A47:C47"/>
    <mergeCell ref="AG47:AI47"/>
    <mergeCell ref="U48:W48"/>
    <mergeCell ref="U50:W50"/>
    <mergeCell ref="U51:W51"/>
    <mergeCell ref="U52:W52"/>
    <mergeCell ref="D47:L47"/>
    <mergeCell ref="V47:Z47"/>
    <mergeCell ref="K48:L48"/>
    <mergeCell ref="M48:N48"/>
    <mergeCell ref="A49:H49"/>
    <mergeCell ref="L50:M50"/>
    <mergeCell ref="AG50:AI50"/>
    <mergeCell ref="D50:K50"/>
    <mergeCell ref="D51:K51"/>
    <mergeCell ref="L51:M51"/>
    <mergeCell ref="D52:K52"/>
    <mergeCell ref="L52:M52"/>
    <mergeCell ref="F54:G54"/>
    <mergeCell ref="P54:T54"/>
    <mergeCell ref="I54:K54"/>
    <mergeCell ref="C55:N55"/>
    <mergeCell ref="C56:N56"/>
    <mergeCell ref="C57:N57"/>
    <mergeCell ref="U57:AB57"/>
    <mergeCell ref="C58:J58"/>
    <mergeCell ref="K58:L58"/>
    <mergeCell ref="AG64:AI64"/>
    <mergeCell ref="AG67:AI67"/>
    <mergeCell ref="AG51:AI51"/>
    <mergeCell ref="AG52:AI52"/>
    <mergeCell ref="AG54:AI54"/>
    <mergeCell ref="AG57:AI57"/>
    <mergeCell ref="AG58:AI58"/>
    <mergeCell ref="AG59:AI59"/>
    <mergeCell ref="AG61:AI61"/>
    <mergeCell ref="A65:O65"/>
    <mergeCell ref="A67:K67"/>
    <mergeCell ref="L67:M67"/>
    <mergeCell ref="N67:P67"/>
    <mergeCell ref="U67:AB67"/>
    <mergeCell ref="A68:P68"/>
    <mergeCell ref="A69:P69"/>
    <mergeCell ref="A70:K70"/>
    <mergeCell ref="L70:M70"/>
    <mergeCell ref="N70:P70"/>
    <mergeCell ref="U70:AB70"/>
    <mergeCell ref="AG70:AI70"/>
    <mergeCell ref="A71:P71"/>
    <mergeCell ref="A72:P72"/>
    <mergeCell ref="A73:K73"/>
    <mergeCell ref="L73:M73"/>
    <mergeCell ref="N73:P73"/>
    <mergeCell ref="U73:W73"/>
    <mergeCell ref="AG73:AI73"/>
    <mergeCell ref="A74:P74"/>
    <mergeCell ref="A75:P75"/>
    <mergeCell ref="A76:K76"/>
    <mergeCell ref="L76:M76"/>
    <mergeCell ref="N76:P76"/>
    <mergeCell ref="U76:W76"/>
    <mergeCell ref="AG76:AI76"/>
    <mergeCell ref="U78:AB78"/>
    <mergeCell ref="AG78:AI78"/>
    <mergeCell ref="A77:O77"/>
    <mergeCell ref="A79:K79"/>
    <mergeCell ref="L79:M79"/>
    <mergeCell ref="N79:P79"/>
    <mergeCell ref="U79:X79"/>
    <mergeCell ref="A80:O80"/>
    <mergeCell ref="AA80:AC80"/>
    <mergeCell ref="L85:M85"/>
    <mergeCell ref="K86:N86"/>
    <mergeCell ref="U87:AF87"/>
    <mergeCell ref="A81:O81"/>
    <mergeCell ref="A82:O82"/>
    <mergeCell ref="AA82:AC82"/>
    <mergeCell ref="A83:P83"/>
    <mergeCell ref="A84:P84"/>
    <mergeCell ref="N85:O85"/>
    <mergeCell ref="Q85:T85"/>
    <mergeCell ref="L17:O17"/>
    <mergeCell ref="P17:S17"/>
    <mergeCell ref="AA17:AB17"/>
    <mergeCell ref="AC17:AE17"/>
    <mergeCell ref="AG17:AI17"/>
    <mergeCell ref="C23:E23"/>
    <mergeCell ref="F23:H23"/>
    <mergeCell ref="AG23:AI23"/>
    <mergeCell ref="J23:N23"/>
    <mergeCell ref="V23:X23"/>
    <mergeCell ref="A24:F24"/>
    <mergeCell ref="G24:H24"/>
    <mergeCell ref="J24:K24"/>
    <mergeCell ref="C25:G25"/>
    <mergeCell ref="AG26:AI26"/>
    <mergeCell ref="A27:E27"/>
    <mergeCell ref="F27:G27"/>
    <mergeCell ref="I27:J27"/>
    <mergeCell ref="F28:G28"/>
    <mergeCell ref="I28:L28"/>
    <mergeCell ref="A29:O29"/>
    <mergeCell ref="AG29:AI29"/>
    <mergeCell ref="K30:L30"/>
    <mergeCell ref="K32:L32"/>
    <mergeCell ref="M32:N32"/>
    <mergeCell ref="U32:W32"/>
    <mergeCell ref="AG32:AI32"/>
    <mergeCell ref="Z34:AA34"/>
    <mergeCell ref="AG34:AI34"/>
    <mergeCell ref="AG37:AI37"/>
    <mergeCell ref="AG38:AI38"/>
    <mergeCell ref="A34:O34"/>
    <mergeCell ref="A35:O35"/>
    <mergeCell ref="AG35:AI35"/>
    <mergeCell ref="A37:G37"/>
    <mergeCell ref="J37:K37"/>
    <mergeCell ref="M37:O37"/>
    <mergeCell ref="A38:E38"/>
    <mergeCell ref="A40:H40"/>
    <mergeCell ref="A41:E41"/>
    <mergeCell ref="B42:I42"/>
    <mergeCell ref="J42:K42"/>
    <mergeCell ref="L42:M42"/>
    <mergeCell ref="F39:J39"/>
    <mergeCell ref="K39:L39"/>
    <mergeCell ref="M39:N39"/>
    <mergeCell ref="J40:K40"/>
    <mergeCell ref="M40:O40"/>
    <mergeCell ref="AG40:AI40"/>
    <mergeCell ref="AG41:AI41"/>
    <mergeCell ref="Y1:AI1"/>
    <mergeCell ref="Z2:AI2"/>
    <mergeCell ref="N3:S3"/>
    <mergeCell ref="V3:AI3"/>
    <mergeCell ref="J4:P4"/>
    <mergeCell ref="V4:AI4"/>
    <mergeCell ref="J5:AI5"/>
    <mergeCell ref="A6:S6"/>
    <mergeCell ref="T6:V6"/>
    <mergeCell ref="X6:AF6"/>
    <mergeCell ref="A8:I8"/>
    <mergeCell ref="U8:W8"/>
    <mergeCell ref="X8:Y8"/>
    <mergeCell ref="A9:C9"/>
    <mergeCell ref="AA15:AB15"/>
    <mergeCell ref="AC15:AE15"/>
    <mergeCell ref="AG15:AI15"/>
    <mergeCell ref="Z8:AC8"/>
    <mergeCell ref="AD8:AE8"/>
    <mergeCell ref="AF8:AI8"/>
    <mergeCell ref="AA11:AI11"/>
    <mergeCell ref="U12:AI12"/>
    <mergeCell ref="AC14:AE14"/>
    <mergeCell ref="AF14:AI14"/>
    <mergeCell ref="J8:T8"/>
    <mergeCell ref="E11:S11"/>
    <mergeCell ref="U11:Z11"/>
    <mergeCell ref="E12:S12"/>
    <mergeCell ref="E13:S13"/>
    <mergeCell ref="Q15:U15"/>
    <mergeCell ref="V15:Z15"/>
    <mergeCell ref="F16:I16"/>
    <mergeCell ref="J16:L16"/>
    <mergeCell ref="M16:P16"/>
    <mergeCell ref="U16:Y16"/>
    <mergeCell ref="AA16:AB16"/>
    <mergeCell ref="AC16:AE16"/>
    <mergeCell ref="AG16:AI16"/>
    <mergeCell ref="U39:W39"/>
    <mergeCell ref="U42:W42"/>
    <mergeCell ref="F43:G43"/>
    <mergeCell ref="I43:K43"/>
    <mergeCell ref="AG43:AI43"/>
    <mergeCell ref="A44:N44"/>
    <mergeCell ref="AG44:AI44"/>
    <mergeCell ref="M58:N58"/>
    <mergeCell ref="O58:P58"/>
    <mergeCell ref="A59:N59"/>
    <mergeCell ref="A60:F60"/>
    <mergeCell ref="G60:J60"/>
    <mergeCell ref="K60:L60"/>
    <mergeCell ref="M60:O60"/>
    <mergeCell ref="K61:O61"/>
    <mergeCell ref="A62:O62"/>
    <mergeCell ref="M63:O63"/>
    <mergeCell ref="A64:K64"/>
    <mergeCell ref="L64:M64"/>
    <mergeCell ref="N64:P64"/>
    <mergeCell ref="U64:AB64"/>
    <mergeCell ref="AG79:AI79"/>
    <mergeCell ref="AG80:AI80"/>
    <mergeCell ref="AG82:AI82"/>
    <mergeCell ref="AG85:AI85"/>
    <mergeCell ref="AG86:AI86"/>
    <mergeCell ref="AG87:AI87"/>
    <mergeCell ref="AF90:AH90"/>
    <mergeCell ref="P94:R94"/>
    <mergeCell ref="S94:T94"/>
    <mergeCell ref="AF91:AI91"/>
    <mergeCell ref="AF92:AI92"/>
    <mergeCell ref="P93:T93"/>
    <mergeCell ref="U93:AE93"/>
    <mergeCell ref="AF93:AG93"/>
    <mergeCell ref="AH93:AI93"/>
    <mergeCell ref="A94:O94"/>
    <mergeCell ref="B100:J100"/>
    <mergeCell ref="K100:R100"/>
    <mergeCell ref="A95:O95"/>
    <mergeCell ref="P95:R95"/>
    <mergeCell ref="S95:T95"/>
    <mergeCell ref="A97:AI97"/>
    <mergeCell ref="A98:R98"/>
    <mergeCell ref="B99:J99"/>
    <mergeCell ref="K99:R99"/>
  </mergeCells>
  <hyperlinks>
    <hyperlink r:id="rId1" ref="A81"/>
    <hyperlink r:id="rId2" ref="A84"/>
    <hyperlink r:id="rId3" ref="B99"/>
    <hyperlink r:id="rId4" ref="B100"/>
  </hyperlinks>
  <printOptions horizontalCentered="1"/>
  <pageMargins bottom="0.7480314960629921" footer="0.0" header="0.0" left="0.2362204724409449" right="0.2362204724409449" top="0.7480314960629921"/>
  <pageSetup paperSize="9" orientation="portrait"/>
  <rowBreaks count="1" manualBreakCount="1">
    <brk id="48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